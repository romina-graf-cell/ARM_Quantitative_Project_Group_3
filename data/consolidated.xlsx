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inagraf/Development_ZHAW/ARM_Project_Group_3/data/"/>
    </mc:Choice>
  </mc:AlternateContent>
  <xr:revisionPtr revIDLastSave="0" documentId="13_ncr:1_{BFA3DB50-656C-6144-BECB-2470F72CCDA3}" xr6:coauthVersionLast="47" xr6:coauthVersionMax="47" xr10:uidLastSave="{00000000-0000-0000-0000-000000000000}"/>
  <bookViews>
    <workbookView xWindow="0" yWindow="760" windowWidth="30240" windowHeight="17360" xr2:uid="{84750920-C407-DD4C-88CD-1382F67CA207}"/>
  </bookViews>
  <sheets>
    <sheet name="Sheet1" sheetId="1" r:id="rId1"/>
  </sheets>
  <definedNames>
    <definedName name="_xlnm._FilterDatabase" localSheetId="0" hidden="1">Sheet1!$A$1:$M$121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</calcChain>
</file>

<file path=xl/sharedStrings.xml><?xml version="1.0" encoding="utf-8"?>
<sst xmlns="http://schemas.openxmlformats.org/spreadsheetml/2006/main" count="973" uniqueCount="542">
  <si>
    <t>web_scraper_order</t>
  </si>
  <si>
    <t>web_scraper_start_url</t>
  </si>
  <si>
    <t>link_pages</t>
  </si>
  <si>
    <t>link_listings</t>
  </si>
  <si>
    <t>area_m2_raw</t>
  </si>
  <si>
    <t>rooms_raw</t>
  </si>
  <si>
    <t>rent_chf_raw</t>
  </si>
  <si>
    <t>year_built_raw</t>
  </si>
  <si>
    <t>https://www.homegate.ch/rent/real-estate/city-zurich/matching-list?be=15000&amp;ac=2.5&amp;ad=5.5&amp;ipd=true&amp;ep=40</t>
  </si>
  <si>
    <t>https://www.homegate.ch/rent/real-estate/city-zurich/matching-list?ep=50&amp;be=15000&amp;ac=2.5&amp;ad=5.5&amp;ipd=true</t>
  </si>
  <si>
    <t>69 m2</t>
  </si>
  <si>
    <t>82 m2</t>
  </si>
  <si>
    <t>1764272678-4</t>
  </si>
  <si>
    <t>https://www.homegate.ch/rent/4002530569</t>
  </si>
  <si>
    <t>134 m2</t>
  </si>
  <si>
    <t>2,530.–</t>
  </si>
  <si>
    <t>Kesslernmattstr. 14, 8965 Berikon</t>
  </si>
  <si>
    <t>1764272681-5</t>
  </si>
  <si>
    <t>https://www.homegate.ch/rent/4002542635</t>
  </si>
  <si>
    <t>98 m2</t>
  </si>
  <si>
    <t>2,255.–</t>
  </si>
  <si>
    <t>Im Spitzler 21, 8902 Urdorf</t>
  </si>
  <si>
    <t>1764272684-6</t>
  </si>
  <si>
    <t>https://www.homegate.ch/rent/4002551340</t>
  </si>
  <si>
    <t>68 m2</t>
  </si>
  <si>
    <t>1,945.–</t>
  </si>
  <si>
    <t>Ferdinand Hodler-Str. 14, 8049 Zürich</t>
  </si>
  <si>
    <t>1764272687-7</t>
  </si>
  <si>
    <t>https://www.homegate.ch/rent/4002567338</t>
  </si>
  <si>
    <t>5,590.–</t>
  </si>
  <si>
    <t>Weinbergstrasse 72, 8006 Zürich</t>
  </si>
  <si>
    <t>89 m2</t>
  </si>
  <si>
    <t>1764272699-10</t>
  </si>
  <si>
    <t>https://www.homegate.ch/rent/4002572292</t>
  </si>
  <si>
    <t>94 m2</t>
  </si>
  <si>
    <t>2,360.–</t>
  </si>
  <si>
    <t>Bahnhofstr. 73, 8957 Spreitenbach</t>
  </si>
  <si>
    <t>1,690.–</t>
  </si>
  <si>
    <t>116 m2</t>
  </si>
  <si>
    <t>1764272708-13</t>
  </si>
  <si>
    <t>https://www.homegate.ch/rent/4002580360</t>
  </si>
  <si>
    <t>4,424.–</t>
  </si>
  <si>
    <t>Florastrasse 7, 8700 Küsnacht</t>
  </si>
  <si>
    <t>1764272713-14</t>
  </si>
  <si>
    <t>https://www.homegate.ch/rent/4002582006</t>
  </si>
  <si>
    <t>75 m2</t>
  </si>
  <si>
    <t>2,780.–</t>
  </si>
  <si>
    <t>Hardstrasse 6, 8105 Regensdorf</t>
  </si>
  <si>
    <t>1764272717-15</t>
  </si>
  <si>
    <t>https://www.homegate.ch/rent/4002582541</t>
  </si>
  <si>
    <t>92 m2</t>
  </si>
  <si>
    <t>3,370.–</t>
  </si>
  <si>
    <t>1764272721-16</t>
  </si>
  <si>
    <t>https://www.homegate.ch/rent/4002585263</t>
  </si>
  <si>
    <t>151 m2</t>
  </si>
  <si>
    <t>7,350.–</t>
  </si>
  <si>
    <t>Susenbergstrasse 90, 8044 Zürich</t>
  </si>
  <si>
    <t>1764272724-17</t>
  </si>
  <si>
    <t>https://www.homegate.ch/rent/4002587137</t>
  </si>
  <si>
    <t>97 m2</t>
  </si>
  <si>
    <t>4,320.–</t>
  </si>
  <si>
    <t>Seefeldstrasse 102, 8008 Zürich</t>
  </si>
  <si>
    <t>1764272729-19</t>
  </si>
  <si>
    <t>https://www.homegate.ch/rent/4002599245</t>
  </si>
  <si>
    <t>72 m2</t>
  </si>
  <si>
    <t>2,860.–</t>
  </si>
  <si>
    <t>Stuckweg 4, 8305 Dietlikon</t>
  </si>
  <si>
    <t>1764272732-20</t>
  </si>
  <si>
    <t>https://www.homegate.ch/rent/4002599281</t>
  </si>
  <si>
    <t>70 m2</t>
  </si>
  <si>
    <t>https://www.homegate.ch/rent/real-estate/city-zurich/matching-list?ep=41&amp;be=15000&amp;ac=2.5&amp;ad=5.5&amp;ipd=true</t>
  </si>
  <si>
    <t>1,800.–</t>
  </si>
  <si>
    <t>1764272742-22</t>
  </si>
  <si>
    <t>https://www.homegate.ch/rent/4002690617</t>
  </si>
  <si>
    <t>2,740.–</t>
  </si>
  <si>
    <t>Sonneggweg 1, 8180 Bülach</t>
  </si>
  <si>
    <t>1,600.–</t>
  </si>
  <si>
    <t>1764272755-27</t>
  </si>
  <si>
    <t>https://www.homegate.ch/rent/4002695996</t>
  </si>
  <si>
    <t>3,180.–</t>
  </si>
  <si>
    <t>Klausstrasse 49, 8008 Zürich</t>
  </si>
  <si>
    <t>1764272757-28</t>
  </si>
  <si>
    <t>https://www.homegate.ch/rent/4002697564</t>
  </si>
  <si>
    <t>59 m2</t>
  </si>
  <si>
    <t>2,230.–</t>
  </si>
  <si>
    <t>Burstwiesenstrasse 19, 8055 Zürich</t>
  </si>
  <si>
    <t>1764272760-29</t>
  </si>
  <si>
    <t>https://www.homegate.ch/rent/4002697566</t>
  </si>
  <si>
    <t>1,735.–</t>
  </si>
  <si>
    <t>Moosäckerstrasse 4, 5442 Fislisbach</t>
  </si>
  <si>
    <t>1764272762-30</t>
  </si>
  <si>
    <t>https://www.homegate.ch/rent/4002697571</t>
  </si>
  <si>
    <t>104 m2</t>
  </si>
  <si>
    <t>3,970.–</t>
  </si>
  <si>
    <t>Witellikerstr. 35, 8702 Zollikon</t>
  </si>
  <si>
    <t>1764272767-31</t>
  </si>
  <si>
    <t>https://www.homegate.ch/rent/4002697843</t>
  </si>
  <si>
    <t>95 m2</t>
  </si>
  <si>
    <t>3,220.–</t>
  </si>
  <si>
    <t>Waldeggweg 2a, 8302 Kloten</t>
  </si>
  <si>
    <t>1764272774-33</t>
  </si>
  <si>
    <t>https://www.homegate.ch/rent/4002707515</t>
  </si>
  <si>
    <t>123 m2</t>
  </si>
  <si>
    <t>4,500.–</t>
  </si>
  <si>
    <t>Im Grossacher 1, 8125 Zollikerberg</t>
  </si>
  <si>
    <t>67 m2</t>
  </si>
  <si>
    <t>1764272793-39</t>
  </si>
  <si>
    <t>https://www.homegate.ch/rent/4002711624</t>
  </si>
  <si>
    <t>81 m2</t>
  </si>
  <si>
    <t>1,785.–</t>
  </si>
  <si>
    <t>Weidstr. 3, 8135 Langnau am Albis</t>
  </si>
  <si>
    <t>1764272798-40</t>
  </si>
  <si>
    <t>https://www.homegate.ch/rent/4002711751</t>
  </si>
  <si>
    <t>4,135.–</t>
  </si>
  <si>
    <t>Schaffhauserstrasse 51, 8152 Glattbrugg</t>
  </si>
  <si>
    <t>https://www.homegate.ch/rent/real-estate/city-zurich/matching-list?ep=40&amp;be=15000&amp;ac=2.5&amp;ad=5.5&amp;ipd=true</t>
  </si>
  <si>
    <t>1764272807-42</t>
  </si>
  <si>
    <t>https://www.homegate.ch/rent/4002715544</t>
  </si>
  <si>
    <t>100 m2</t>
  </si>
  <si>
    <t>3,980.–</t>
  </si>
  <si>
    <t>Rötelstrasse 109, 8037 Zürich</t>
  </si>
  <si>
    <t>1764272810-43</t>
  </si>
  <si>
    <t>https://www.homegate.ch/rent/4002715652</t>
  </si>
  <si>
    <t>62 m2</t>
  </si>
  <si>
    <t>2,127.–</t>
  </si>
  <si>
    <t>Leutschenbachstrasse 50/50a, 8050 Zürich</t>
  </si>
  <si>
    <t>1764272815-44</t>
  </si>
  <si>
    <t>https://www.homegate.ch/rent/4002715668</t>
  </si>
  <si>
    <t>88 m2</t>
  </si>
  <si>
    <t>2,766.–</t>
  </si>
  <si>
    <t>Ankenbüel 5, 8126 Zumikon</t>
  </si>
  <si>
    <t>79 m2</t>
  </si>
  <si>
    <t>1764272825-47</t>
  </si>
  <si>
    <t>https://www.homegate.ch/rent/4002717698</t>
  </si>
  <si>
    <t>86 m2</t>
  </si>
  <si>
    <t>2,610.–</t>
  </si>
  <si>
    <t>Hüttisstr. 8, 8050 Zürich</t>
  </si>
  <si>
    <t>1764272828-48</t>
  </si>
  <si>
    <t>https://www.homegate.ch/rent/4002718016</t>
  </si>
  <si>
    <t>2,900.–</t>
  </si>
  <si>
    <t>Imbisbühlsteig 10, 8049 Zürich</t>
  </si>
  <si>
    <t>96 m2</t>
  </si>
  <si>
    <t>1764272836-51</t>
  </si>
  <si>
    <t>https://www.homegate.ch/rent/4002723536</t>
  </si>
  <si>
    <t>2,626.–</t>
  </si>
  <si>
    <t>Baslerstrasse 29, 8048 Zürich</t>
  </si>
  <si>
    <t>1764272839-52</t>
  </si>
  <si>
    <t>https://www.homegate.ch/rent/4002723839</t>
  </si>
  <si>
    <t>3,590.–</t>
  </si>
  <si>
    <t>Schaffhauserstrasse 163, 8057 Zürich</t>
  </si>
  <si>
    <t>1764272841-53</t>
  </si>
  <si>
    <t>https://www.homegate.ch/rent/4002724503</t>
  </si>
  <si>
    <t>2,300.–</t>
  </si>
  <si>
    <t>Rebhaldenstrasse 4B, 8910 Affoltern am Albis</t>
  </si>
  <si>
    <t>1764272847-55</t>
  </si>
  <si>
    <t>https://www.homegate.ch/rent/4002724607</t>
  </si>
  <si>
    <t>63 m2</t>
  </si>
  <si>
    <t>2,150.–</t>
  </si>
  <si>
    <t>Marktgasse 3, 8302 Kloten</t>
  </si>
  <si>
    <t>1764272862-60</t>
  </si>
  <si>
    <t>https://www.homegate.ch/rent/4002727380</t>
  </si>
  <si>
    <t>2,020.–</t>
  </si>
  <si>
    <t>Wiesengrundstrasse 15a, 8910 Affoltern am Albis</t>
  </si>
  <si>
    <t>https://www.homegate.ch/rent/real-estate/city-zurich/matching-list?be=15000&amp;ac=2.5&amp;ad=5.5&amp;ipd=true</t>
  </si>
  <si>
    <t>1764272875-62</t>
  </si>
  <si>
    <t>https://www.homegate.ch/rent/4002709870</t>
  </si>
  <si>
    <t>90 m2</t>
  </si>
  <si>
    <t>3,925.–</t>
  </si>
  <si>
    <t>Weltistrasse 6, 8002 Zürich</t>
  </si>
  <si>
    <t>1764272878-63</t>
  </si>
  <si>
    <t>https://www.homegate.ch/rent/4002714190</t>
  </si>
  <si>
    <t>140 m2</t>
  </si>
  <si>
    <t>2,798.–</t>
  </si>
  <si>
    <t>Morgentalstrasse 14, 8108 Dällikon</t>
  </si>
  <si>
    <t>1764272884-65</t>
  </si>
  <si>
    <t>https://www.homegate.ch/rent/4002661838</t>
  </si>
  <si>
    <t>126 m2</t>
  </si>
  <si>
    <t>3,140.–</t>
  </si>
  <si>
    <t>Am Mühlebach 6, 8964 Rudolfstetten-Friedlisberg</t>
  </si>
  <si>
    <t>1764272887-66</t>
  </si>
  <si>
    <t>https://www.homegate.ch/rent/4002527091</t>
  </si>
  <si>
    <t>109 m2</t>
  </si>
  <si>
    <t>4,660.–</t>
  </si>
  <si>
    <t>Erlengutstrasse 6, 8703 Erlenbach ZH</t>
  </si>
  <si>
    <t>1764272890-67</t>
  </si>
  <si>
    <t>https://www.homegate.ch/rent/4002605738</t>
  </si>
  <si>
    <t>105 m2</t>
  </si>
  <si>
    <t>2,770.–</t>
  </si>
  <si>
    <t>Gaswerkstrasse 9, 5610 Wohlen</t>
  </si>
  <si>
    <t>1764272893-68</t>
  </si>
  <si>
    <t>https://www.homegate.ch/rent/4002605754</t>
  </si>
  <si>
    <t>110 m2</t>
  </si>
  <si>
    <t>2,890.–</t>
  </si>
  <si>
    <t>1764272899-69</t>
  </si>
  <si>
    <t>https://www.homegate.ch/rent/4002661811</t>
  </si>
  <si>
    <t>3,400.–</t>
  </si>
  <si>
    <t>Grünhaldenstrasse 28, 8052 Seebach</t>
  </si>
  <si>
    <t>1764272903-70</t>
  </si>
  <si>
    <t>https://www.homegate.ch/rent/4002700035</t>
  </si>
  <si>
    <t>58 m2</t>
  </si>
  <si>
    <t>2,990.–</t>
  </si>
  <si>
    <t>Tödistrasse 63, 8810 Horgen</t>
  </si>
  <si>
    <t>102 m2</t>
  </si>
  <si>
    <t>1764272910-72</t>
  </si>
  <si>
    <t>https://www.homegate.ch/rent/4002414843</t>
  </si>
  <si>
    <t>3,650.–</t>
  </si>
  <si>
    <t>Trichtenhausenstrasse 130, 8053 Zürich</t>
  </si>
  <si>
    <t>77 m2</t>
  </si>
  <si>
    <t>3,990.–</t>
  </si>
  <si>
    <t>1,890.–</t>
  </si>
  <si>
    <t>112 m2</t>
  </si>
  <si>
    <t>87 m2</t>
  </si>
  <si>
    <t>113 m2</t>
  </si>
  <si>
    <t>74 m2</t>
  </si>
  <si>
    <t>93 m2</t>
  </si>
  <si>
    <t>78 m2</t>
  </si>
  <si>
    <t>canton</t>
  </si>
  <si>
    <t>Zurich</t>
  </si>
  <si>
    <t>1764443362-1</t>
  </si>
  <si>
    <t>https://www.homegate.ch/rent/real-estate/region-lucernecity/matching-list?bf=1900&amp;bg=2025&amp;ac=2.5&amp;ad=5.5&amp;ipd=true&amp;ep=40</t>
  </si>
  <si>
    <t>https://www.homegate.ch/rent/real-estate/region-lucernecity/matching-list?bf=1900&amp;bg=2025&amp;ac=2.5&amp;ad=5.5&amp;ipd=true</t>
  </si>
  <si>
    <t>https://www.homegate.ch/rent/4002671364</t>
  </si>
  <si>
    <t>71 m2</t>
  </si>
  <si>
    <t>2,040.–</t>
  </si>
  <si>
    <t>Schönbühlring 3, 6005 Luzern</t>
  </si>
  <si>
    <t>1764443364-2</t>
  </si>
  <si>
    <t>https://www.homegate.ch/rent/4002695026</t>
  </si>
  <si>
    <t>76 m2</t>
  </si>
  <si>
    <t>2,755.–</t>
  </si>
  <si>
    <t>Neustadtstr. 6, 6003 Luzern</t>
  </si>
  <si>
    <t>1764443367-3</t>
  </si>
  <si>
    <t>https://www.homegate.ch/rent/4002715662</t>
  </si>
  <si>
    <t>1,760.–</t>
  </si>
  <si>
    <t>Matthofring 19 21 23, 6005 Luzern</t>
  </si>
  <si>
    <t>1764443371-4</t>
  </si>
  <si>
    <t>https://www.homegate.ch/rent/4002732784</t>
  </si>
  <si>
    <t>83 m2</t>
  </si>
  <si>
    <t>2,198.–</t>
  </si>
  <si>
    <t>Zihlmattweg 44, 6005 Luzern</t>
  </si>
  <si>
    <t>1764443375-5</t>
  </si>
  <si>
    <t>https://www.homegate.ch/rent/4002279235</t>
  </si>
  <si>
    <t>2,170.–</t>
  </si>
  <si>
    <t>Winkelriedstr. 47, 6003 Luzern</t>
  </si>
  <si>
    <t>1764443377-6</t>
  </si>
  <si>
    <t>https://www.homegate.ch/rent/4002415456</t>
  </si>
  <si>
    <t>149 m2</t>
  </si>
  <si>
    <t>4,040.–</t>
  </si>
  <si>
    <t>Rösslimattstr. 4, 6005 Luzern</t>
  </si>
  <si>
    <t>1764443380-7</t>
  </si>
  <si>
    <t>https://www.homegate.ch/rent/4002544586</t>
  </si>
  <si>
    <t>2,400.–</t>
  </si>
  <si>
    <t>Obergütschrain 2, 6003 Luzern</t>
  </si>
  <si>
    <t>1764443383-8</t>
  </si>
  <si>
    <t>https://www.homegate.ch/rent/4002446044</t>
  </si>
  <si>
    <t>3,610.–</t>
  </si>
  <si>
    <t>Winkelriedstr. 25, 6003 Luzern</t>
  </si>
  <si>
    <t>1764443386-9</t>
  </si>
  <si>
    <t>https://www.homegate.ch/rent/4002706701</t>
  </si>
  <si>
    <t>1,610.–</t>
  </si>
  <si>
    <t>Winkelriedstr. 37, 6003 Luzern</t>
  </si>
  <si>
    <t>1764443390-10</t>
  </si>
  <si>
    <t>https://www.homegate.ch/rent/4002734587</t>
  </si>
  <si>
    <t>2,045.–</t>
  </si>
  <si>
    <t>Schädrütistrasse 58, 6006 Luzern</t>
  </si>
  <si>
    <t>1764443393-11</t>
  </si>
  <si>
    <t>https://www.homegate.ch/rent/4002737065</t>
  </si>
  <si>
    <t>61 m2</t>
  </si>
  <si>
    <t>1,660.–</t>
  </si>
  <si>
    <t>Zihlmattweg 42, 6005 Luzern</t>
  </si>
  <si>
    <t>1764443396-12</t>
  </si>
  <si>
    <t>https://www.homegate.ch/rent/4002168991</t>
  </si>
  <si>
    <t>Seidenhofstr. 1, 6003 Luzern</t>
  </si>
  <si>
    <t>1764443399-13</t>
  </si>
  <si>
    <t>https://www.homegate.ch/rent/4002169003</t>
  </si>
  <si>
    <t>3,390.–</t>
  </si>
  <si>
    <t>1764443402-14</t>
  </si>
  <si>
    <t>https://www.homegate.ch/rent/4002729170</t>
  </si>
  <si>
    <t>1,820.–</t>
  </si>
  <si>
    <t>Tribschenstr. 62, 6005 Luzern</t>
  </si>
  <si>
    <t>1764443405-15</t>
  </si>
  <si>
    <t>https://www.homegate.ch/rent/4002169015</t>
  </si>
  <si>
    <t>3,890.–</t>
  </si>
  <si>
    <t>Hirschengraben 7, 6003 Luzern</t>
  </si>
  <si>
    <t>1764443410-16</t>
  </si>
  <si>
    <t>https://www.homegate.ch/rent/4002618263</t>
  </si>
  <si>
    <t>Stadthausstrasse 2, 6003 Luzern</t>
  </si>
  <si>
    <t>1764443413-17</t>
  </si>
  <si>
    <t>https://www.homegate.ch/rent/4002727060</t>
  </si>
  <si>
    <t>101 m2</t>
  </si>
  <si>
    <t>2,950.–</t>
  </si>
  <si>
    <t>Cheerstrasse 13F, 6014 Luzern</t>
  </si>
  <si>
    <t>1764443416-18</t>
  </si>
  <si>
    <t>https://www.homegate.ch/rent/4002254534</t>
  </si>
  <si>
    <t>4,300.–</t>
  </si>
  <si>
    <t>1764443418-19</t>
  </si>
  <si>
    <t>https://www.homegate.ch/rent/4002006119</t>
  </si>
  <si>
    <t>193 m2</t>
  </si>
  <si>
    <t>5,700.–</t>
  </si>
  <si>
    <t>Guggistrasse 14 A, 6005 Luzern</t>
  </si>
  <si>
    <t>1764443422-20</t>
  </si>
  <si>
    <t>https://www.homegate.ch/rent/4002727175</t>
  </si>
  <si>
    <t>Rosenberghalde 3, 6004 Luzern</t>
  </si>
  <si>
    <t>1764443663-21</t>
  </si>
  <si>
    <t>https://www.homegate.ch/rent/real-estate/region-lucernecity/matching-list?bf=1900&amp;bg=2025&amp;ac=2.5&amp;ad=5.5&amp;ipd=true&amp;ep=4</t>
  </si>
  <si>
    <t>https://www.homegate.ch/rent/real-estate/region-lucernecity/matching-list?ep=3&amp;bf=1900&amp;bg=2025&amp;ac=2.5&amp;ad=5.5&amp;ipd=true</t>
  </si>
  <si>
    <t>https://www.homegate.ch/rent/4002048059</t>
  </si>
  <si>
    <t>40 m2</t>
  </si>
  <si>
    <t>2,750.–</t>
  </si>
  <si>
    <t>Maihofstrasse 8, 6004 Lucerne</t>
  </si>
  <si>
    <t>1764443666-22</t>
  </si>
  <si>
    <t>https://www.homegate.ch/rent/4002048079</t>
  </si>
  <si>
    <t>1764443672-23</t>
  </si>
  <si>
    <t>https://www.homegate.ch/rent/4002550529</t>
  </si>
  <si>
    <t>1,650.–</t>
  </si>
  <si>
    <t>Seefeldstrasse 3, 6006 Luzern</t>
  </si>
  <si>
    <t>1764443675-24</t>
  </si>
  <si>
    <t>https://www.homegate.ch/rent/4002562708</t>
  </si>
  <si>
    <t>Obergütschstrasse 33, 6003 Luzern</t>
  </si>
  <si>
    <t>1764443677-25</t>
  </si>
  <si>
    <t>https://www.homegate.ch/rent/4002708086</t>
  </si>
  <si>
    <t>1,750.–</t>
  </si>
  <si>
    <t>Birkenstrasse 2, 6003 Luzern</t>
  </si>
  <si>
    <t>1764443680-26</t>
  </si>
  <si>
    <t>https://www.homegate.ch/rent/4002721900</t>
  </si>
  <si>
    <t>106 m2</t>
  </si>
  <si>
    <t>2,510.–</t>
  </si>
  <si>
    <t>Rothenpark 8, 6015 Luzern</t>
  </si>
  <si>
    <t>1764443683-27</t>
  </si>
  <si>
    <t>https://www.homegate.ch/rent/4002736923</t>
  </si>
  <si>
    <t>1,615.–</t>
  </si>
  <si>
    <t>Hirtenhofring 24, 6005 Luzern</t>
  </si>
  <si>
    <t>1764443686-28</t>
  </si>
  <si>
    <t>https://www.homegate.ch/rent/4002723958</t>
  </si>
  <si>
    <t>1,790.–</t>
  </si>
  <si>
    <t>Hirtenhofring 20, 6005 Luzern</t>
  </si>
  <si>
    <t>1764443690-29</t>
  </si>
  <si>
    <t>https://www.homegate.ch/rent/4002730892</t>
  </si>
  <si>
    <t>Obergütschrain 4, 6003 Luzern</t>
  </si>
  <si>
    <t>1764443693-30</t>
  </si>
  <si>
    <t>https://www.homegate.ch/rent/4002675669</t>
  </si>
  <si>
    <t>4,140.–</t>
  </si>
  <si>
    <t>Schädrütihalde 11, 6006 Luzern</t>
  </si>
  <si>
    <t>1764443696-31</t>
  </si>
  <si>
    <t>https://www.homegate.ch/rent/4002677933</t>
  </si>
  <si>
    <t>3,770.–</t>
  </si>
  <si>
    <t>Wesemlinstrasse 71, 6006 Luzern</t>
  </si>
  <si>
    <t>1764443711-32</t>
  </si>
  <si>
    <t>https://www.homegate.ch/rent/real-estate/region-lucernecity/matching-list?bf=1900&amp;bg=2025&amp;ac=2.5&amp;ad=5.5&amp;ipd=true&amp;ep=3</t>
  </si>
  <si>
    <t>https://www.homegate.ch/rent/real-estate/region-lucernecity/matching-list?ep=2&amp;bf=1900&amp;bg=2025&amp;ac=2.5&amp;ad=5.5&amp;ipd=true</t>
  </si>
  <si>
    <t>https://www.homegate.ch/rent/4002731640</t>
  </si>
  <si>
    <t>119 m2</t>
  </si>
  <si>
    <t>4,550.–</t>
  </si>
  <si>
    <t>Adligenswilerstrasse 39, 6006 Luzern</t>
  </si>
  <si>
    <t>1764443722-33</t>
  </si>
  <si>
    <t>https://www.homegate.ch/rent/4002736303</t>
  </si>
  <si>
    <t>6014 Luzern</t>
  </si>
  <si>
    <t>1764443726-34</t>
  </si>
  <si>
    <t>https://www.homegate.ch/rent/4002515982</t>
  </si>
  <si>
    <t>2,590.–</t>
  </si>
  <si>
    <t>Bernstrasse 58, 6003 Luzern</t>
  </si>
  <si>
    <t>1764443729-35</t>
  </si>
  <si>
    <t>https://www.homegate.ch/rent/4002677932</t>
  </si>
  <si>
    <t>3,680.–</t>
  </si>
  <si>
    <t>1764443736-37</t>
  </si>
  <si>
    <t>https://www.homegate.ch/rent/4002632080</t>
  </si>
  <si>
    <t>2,050.–</t>
  </si>
  <si>
    <t>Werftestr. 3, 6005 Luzern</t>
  </si>
  <si>
    <t>1764443739-38</t>
  </si>
  <si>
    <t>https://www.homegate.ch/rent/4002711759</t>
  </si>
  <si>
    <t>Hirtenhofstrasse 20, 6005 Luzern</t>
  </si>
  <si>
    <t>1764443743-39</t>
  </si>
  <si>
    <t>https://www.homegate.ch/rent/4002321461</t>
  </si>
  <si>
    <t>2,690.–</t>
  </si>
  <si>
    <t>Dammstrasse 10, 6003 Luzern</t>
  </si>
  <si>
    <t>1764443747-40</t>
  </si>
  <si>
    <t>https://www.homegate.ch/rent/4002691961</t>
  </si>
  <si>
    <t>2,675.–</t>
  </si>
  <si>
    <t>Neustadtstr. 8, 6003 Luzern</t>
  </si>
  <si>
    <t>1764443750-41</t>
  </si>
  <si>
    <t>https://www.homegate.ch/rent/4002727690</t>
  </si>
  <si>
    <t>1,825.–</t>
  </si>
  <si>
    <t>Seefeldstrasse 17, 6006 Luzern</t>
  </si>
  <si>
    <t>1,860.–</t>
  </si>
  <si>
    <t>84 m2</t>
  </si>
  <si>
    <t>Luzern</t>
  </si>
  <si>
    <t>1764444027-1</t>
  </si>
  <si>
    <t>https://www.homegate.ch/rent/real-estate/canton-bern/matching-list?bf=1900&amp;bg=2025&amp;ac=2.5&amp;ad=5.5&amp;ipd=true&amp;ep=10</t>
  </si>
  <si>
    <t>https://www.homegate.ch/rent/real-estate/canton-bern/matching-list?ep=46&amp;bf=1900&amp;bg=2025&amp;ac=2.5&amp;ad=5.5&amp;ipd=true</t>
  </si>
  <si>
    <t>https://www.homegate.ch/rent/4002726512</t>
  </si>
  <si>
    <t>133 m2</t>
  </si>
  <si>
    <t>3,150.–</t>
  </si>
  <si>
    <t>3652 Hilterfingen</t>
  </si>
  <si>
    <t>1764444032-3</t>
  </si>
  <si>
    <t>https://www.homegate.ch/rent/4001829214</t>
  </si>
  <si>
    <t>Lindenhofstrasse 10, 3048 Worblaufen</t>
  </si>
  <si>
    <t>1764444036-4</t>
  </si>
  <si>
    <t>https://www.homegate.ch/rent/4002194281</t>
  </si>
  <si>
    <t>1,950.–</t>
  </si>
  <si>
    <t>Bielstrasse 12, 3237 Brüttelen</t>
  </si>
  <si>
    <t>1764444039-5</t>
  </si>
  <si>
    <t>https://www.homegate.ch/rent/4002194282</t>
  </si>
  <si>
    <t>1764444050-6</t>
  </si>
  <si>
    <t>https://www.homegate.ch/rent/real-estate/canton-bern/matching-list?ep=11&amp;bf=1900&amp;bg=2025&amp;ac=2.5&amp;ad=5.5&amp;ipd=true</t>
  </si>
  <si>
    <t>https://www.homegate.ch/rent/4002504997</t>
  </si>
  <si>
    <t>Schwadernauweg 28, 2504 Biel/Bienne</t>
  </si>
  <si>
    <t>1764444053-7</t>
  </si>
  <si>
    <t>https://www.homegate.ch/rent/4002510385</t>
  </si>
  <si>
    <t>1,480.–</t>
  </si>
  <si>
    <t>Bözingenstr. 140, 2504 Biel/Bienne</t>
  </si>
  <si>
    <t>1764444056-8</t>
  </si>
  <si>
    <t>https://www.homegate.ch/rent/4002518159</t>
  </si>
  <si>
    <t>2,410.–</t>
  </si>
  <si>
    <t>Längimoosstr. 5, 3075 Rüfenacht BE</t>
  </si>
  <si>
    <t>1764444062-9</t>
  </si>
  <si>
    <t>https://www.homegate.ch/rent/4002523501</t>
  </si>
  <si>
    <t>80 m2</t>
  </si>
  <si>
    <t>1,450.–</t>
  </si>
  <si>
    <t>Rainstrasse 3, 2555 Brügg</t>
  </si>
  <si>
    <t>1764444065-10</t>
  </si>
  <si>
    <t>https://www.homegate.ch/rent/4002524716</t>
  </si>
  <si>
    <t>Sägetstr. 41, 3303 Jegenstorf</t>
  </si>
  <si>
    <t>1764444067-11</t>
  </si>
  <si>
    <t>https://www.homegate.ch/rent/4002524718</t>
  </si>
  <si>
    <t>1,920.–</t>
  </si>
  <si>
    <t>Froschweg 12, 3098 Schliern b. Köniz</t>
  </si>
  <si>
    <t>1764444072-12</t>
  </si>
  <si>
    <t>https://www.homegate.ch/rent/4002552090</t>
  </si>
  <si>
    <t>2,882.–</t>
  </si>
  <si>
    <t>Bundesgasse 26, 3011 Bern</t>
  </si>
  <si>
    <t>1764444075-13</t>
  </si>
  <si>
    <t>https://www.homegate.ch/rent/4002579549</t>
  </si>
  <si>
    <t>1,849.–</t>
  </si>
  <si>
    <t>Ländlistrasse 12, 3047 Bremgarten b. Bern</t>
  </si>
  <si>
    <t>1764444078-14</t>
  </si>
  <si>
    <t>https://www.homegate.ch/rent/4002608397</t>
  </si>
  <si>
    <t>1,180.–</t>
  </si>
  <si>
    <t>Denkmalweg 38, 2543 Lengnau BE</t>
  </si>
  <si>
    <t>1764444082-15</t>
  </si>
  <si>
    <t>https://www.homegate.ch/rent/4002610077</t>
  </si>
  <si>
    <t>1,360.–</t>
  </si>
  <si>
    <t>Emmenstrasse 7a, 3415 Hasle b. Burgdorf</t>
  </si>
  <si>
    <t>1764444084-16</t>
  </si>
  <si>
    <t>https://www.homegate.ch/rent/4002614114</t>
  </si>
  <si>
    <t>Bodelenweg 101, 3172 Niederwangen b. Bern</t>
  </si>
  <si>
    <t>1764444087-17</t>
  </si>
  <si>
    <t>https://www.homegate.ch/rent/4002617676</t>
  </si>
  <si>
    <t>2,140.–</t>
  </si>
  <si>
    <t>Hirschweid 208, 3113 Rubigen</t>
  </si>
  <si>
    <t>1764444090-18</t>
  </si>
  <si>
    <t>https://www.homegate.ch/rent/4002624900</t>
  </si>
  <si>
    <t>Hühnerhubelstrasse 13, 3123 Belp</t>
  </si>
  <si>
    <t>1764444093-19</t>
  </si>
  <si>
    <t>https://www.homegate.ch/rent/4002625969</t>
  </si>
  <si>
    <t>2,232.–</t>
  </si>
  <si>
    <t>Sandstrasse 104, 3302 Moosseedorf</t>
  </si>
  <si>
    <t>1764444096-20</t>
  </si>
  <si>
    <t>https://www.homegate.ch/rent/4002645792</t>
  </si>
  <si>
    <t>103 m2</t>
  </si>
  <si>
    <t>2,570.–</t>
  </si>
  <si>
    <t>Weltpoststrasse 8b, 3015 Bern</t>
  </si>
  <si>
    <t>1764444098-21</t>
  </si>
  <si>
    <t>https://www.homegate.ch/rent/4002645908</t>
  </si>
  <si>
    <t>Zürchermatte BE 159'238 1, 3550 Langnau i. E.</t>
  </si>
  <si>
    <t>1764444101-22</t>
  </si>
  <si>
    <t>https://www.homegate.ch/rent/4002664559</t>
  </si>
  <si>
    <t>2,240.–</t>
  </si>
  <si>
    <t>Bernstrasse 25, 3072 Ostermundigen</t>
  </si>
  <si>
    <t>1764444103-23</t>
  </si>
  <si>
    <t>https://www.homegate.ch/rent/4002664768</t>
  </si>
  <si>
    <t>2,205.–</t>
  </si>
  <si>
    <t>Allmendstr. 3c, 3600 Thun</t>
  </si>
  <si>
    <t>1764444112-24</t>
  </si>
  <si>
    <t>https://www.homegate.ch/rent/4002665236</t>
  </si>
  <si>
    <t>Neumarktstrasse 29, 2503 Biel/Bienne</t>
  </si>
  <si>
    <t>1764444116-25</t>
  </si>
  <si>
    <t>https://www.homegate.ch/rent/4002665237</t>
  </si>
  <si>
    <t>2,025.–</t>
  </si>
  <si>
    <t>Sandstrasse 116, 3302 Moosseedorf</t>
  </si>
  <si>
    <t>1764444122-26</t>
  </si>
  <si>
    <t>https://www.homegate.ch/rent/real-estate/canton-bern/matching-list?ep=10&amp;bf=1900&amp;bg=2025&amp;ac=2.5&amp;ad=5.5&amp;ipd=true</t>
  </si>
  <si>
    <t>https://www.homegate.ch/rent/4002666954</t>
  </si>
  <si>
    <t>1,780.–</t>
  </si>
  <si>
    <t>Bahnhofstr. 43, 4950 Huttwil</t>
  </si>
  <si>
    <t>1764444124-27</t>
  </si>
  <si>
    <t>https://www.homegate.ch/rent/4002666955</t>
  </si>
  <si>
    <t>1,580.–</t>
  </si>
  <si>
    <t>1764444127-28</t>
  </si>
  <si>
    <t>https://www.homegate.ch/rent/4002670039</t>
  </si>
  <si>
    <t>Melchnaustrasse 4d, 4934 Madiswil</t>
  </si>
  <si>
    <t>1764444130-29</t>
  </si>
  <si>
    <t>https://www.homegate.ch/rent/4002674982</t>
  </si>
  <si>
    <t>Sandstrasse 106, 3302 Moosseedorf</t>
  </si>
  <si>
    <t>1764444134-30</t>
  </si>
  <si>
    <t>https://www.homegate.ch/rent/4002676663</t>
  </si>
  <si>
    <t>Tessenbergstr. 59a, 2505 Biel-Vingelz</t>
  </si>
  <si>
    <t>1764444144-31</t>
  </si>
  <si>
    <t>https://www.homegate.ch/rent/4002683578</t>
  </si>
  <si>
    <t>1,595.–</t>
  </si>
  <si>
    <t>Quartierweg 10, 3303 Jegenstorf</t>
  </si>
  <si>
    <t>1764444147-32</t>
  </si>
  <si>
    <t>https://www.homegate.ch/rent/4002686688</t>
  </si>
  <si>
    <t>1,680.–</t>
  </si>
  <si>
    <t>Dorfmattweg 15 a, 3110 Münsingen</t>
  </si>
  <si>
    <t>1764444149-33</t>
  </si>
  <si>
    <t>https://www.homegate.ch/rent/4002688343</t>
  </si>
  <si>
    <t>66 m2</t>
  </si>
  <si>
    <t>Neuhofstrasse 27, 3422 Kirchberg</t>
  </si>
  <si>
    <t>1764444152-34</t>
  </si>
  <si>
    <t>https://www.homegate.ch/rent/4002695050</t>
  </si>
  <si>
    <t>1,630.–</t>
  </si>
  <si>
    <t>Typonweg 11 b, 3400 Burgdorf</t>
  </si>
  <si>
    <t>1764444156-35</t>
  </si>
  <si>
    <t>https://www.homegate.ch/rent/4002704495</t>
  </si>
  <si>
    <t>1,770.–</t>
  </si>
  <si>
    <t>Dammstrasse 24, 3400 Burgdorf</t>
  </si>
  <si>
    <t>1764444161-36</t>
  </si>
  <si>
    <t>https://www.homegate.ch/rent/4002704496</t>
  </si>
  <si>
    <t>2,100.–</t>
  </si>
  <si>
    <t>Typonweg 15 a, 3400 Burgdorf</t>
  </si>
  <si>
    <t>1764444164-37</t>
  </si>
  <si>
    <t>https://www.homegate.ch/rent/4002711389</t>
  </si>
  <si>
    <t>122 m2</t>
  </si>
  <si>
    <t>Mattenhofstr. 13, 3007 Bern</t>
  </si>
  <si>
    <t>1764444168-38</t>
  </si>
  <si>
    <t>https://www.homegate.ch/rent/4002711390</t>
  </si>
  <si>
    <t>145 m2</t>
  </si>
  <si>
    <t>2,650.–</t>
  </si>
  <si>
    <t>1764444171-39</t>
  </si>
  <si>
    <t>https://www.homegate.ch/rent/4002716289</t>
  </si>
  <si>
    <t>1,590.–</t>
  </si>
  <si>
    <t>In der Gass 1, 3380 Wangen an der Aare</t>
  </si>
  <si>
    <t>1764444174-40</t>
  </si>
  <si>
    <t>https://www.homegate.ch/rent/4002723181</t>
  </si>
  <si>
    <t>Winkelriedstr. 9, 3014 Bern</t>
  </si>
  <si>
    <t>1764444176-41</t>
  </si>
  <si>
    <t>https://www.homegate.ch/rent/4002723190</t>
  </si>
  <si>
    <t>Eigerweg 7, 3177 Laupen BE</t>
  </si>
  <si>
    <t>Bern</t>
  </si>
  <si>
    <t>id</t>
  </si>
  <si>
    <t>area_m2</t>
  </si>
  <si>
    <t>rent_chf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</si>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</sst>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650E-8343-5041-B44F-DCAB2BC644D3}">
  <dimension ref="A1:M121"/>
  <sheetViews>
    <sheetView tabSelected="1" zoomScale="99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L2" sqref="L2"/>
    </sheetView>
  </sheetViews>
  <sheetFormatPr baseColWidth="10" defaultRowHeight="16" x14ac:dyDescent="0.2"/>
  <cols>
    <col min="1" max="1" width="16.83203125" bestFit="1" customWidth="1"/>
    <col min="2" max="2" width="16.83203125" customWidth="1"/>
    <col min="3" max="4" width="95.5" bestFit="1" customWidth="1"/>
    <col min="5" max="5" width="43" customWidth="1"/>
    <col min="6" max="6" width="27.1640625" customWidth="1"/>
    <col min="7" max="7" width="11.83203125" customWidth="1"/>
    <col min="12" max="12" width="41.5" bestFit="1" customWidth="1"/>
  </cols>
  <sheetData>
    <row r="1" spans="1:13" x14ac:dyDescent="0.2">
      <c r="A1" t="s">
        <v>0</v>
      </c>
      <c r="B1" t="s">
        <v>538</v>
      </c>
      <c r="C1" t="s">
        <v>1</v>
      </c>
      <c r="D1" t="s">
        <v>2</v>
      </c>
      <c r="E1" t="s">
        <v>3</v>
      </c>
      <c r="F1" t="s">
        <v>4</v>
      </c>
      <c r="G1" t="s">
        <v>539</v>
      </c>
      <c r="H1" t="s">
        <v>5</v>
      </c>
      <c r="I1" t="s">
        <v>6</v>
      </c>
      <c r="J1" t="s">
        <v>540</v>
      </c>
      <c r="K1" t="s">
        <v>7</v>
      </c>
      <c r="L1" t="s">
        <v>541</v>
      </c>
      <c r="M1" t="s">
        <v>216</v>
      </c>
    </row>
    <row r="2" spans="1:13" x14ac:dyDescent="0.2">
      <c r="A2" t="s">
        <v>12</v>
      </c>
      <c r="B2">
        <v>1</v>
      </c>
      <c r="C2" t="s">
        <v>8</v>
      </c>
      <c r="D2" t="s">
        <v>9</v>
      </c>
      <c r="E2" t="s">
        <v>13</v>
      </c>
      <c r="F2" t="s">
        <v>14</v>
      </c>
      <c r="G2" s="1">
        <v>134</v>
      </c>
      <c r="H2">
        <v>5.5</v>
      </c>
      <c r="I2" t="s">
        <v>15</v>
      </c>
      <c r="J2" s="1">
        <v>2530</v>
      </c>
      <c r="K2">
        <v>1984</v>
      </c>
      <c r="L2" t="s">
        <v>16</v>
      </c>
      <c r="M2" t="s">
        <v>217</v>
      </c>
    </row>
    <row r="3" spans="1:13" x14ac:dyDescent="0.2">
      <c r="A3" t="s">
        <v>17</v>
      </c>
      <c r="B3">
        <f>B2+1</f>
        <v>2</v>
      </c>
      <c r="C3" t="s">
        <v>8</v>
      </c>
      <c r="D3" t="s">
        <v>9</v>
      </c>
      <c r="E3" t="s">
        <v>18</v>
      </c>
      <c r="F3" t="s">
        <v>19</v>
      </c>
      <c r="G3" s="1">
        <v>98</v>
      </c>
      <c r="H3">
        <v>3.5</v>
      </c>
      <c r="I3" t="s">
        <v>20</v>
      </c>
      <c r="J3" s="1">
        <v>2255</v>
      </c>
      <c r="K3">
        <v>1989</v>
      </c>
      <c r="L3" t="s">
        <v>21</v>
      </c>
      <c r="M3" t="s">
        <v>217</v>
      </c>
    </row>
    <row r="4" spans="1:13" x14ac:dyDescent="0.2">
      <c r="A4" t="s">
        <v>22</v>
      </c>
      <c r="B4">
        <f t="shared" ref="B4:B67" si="0">B3+1</f>
        <v>3</v>
      </c>
      <c r="C4" t="s">
        <v>8</v>
      </c>
      <c r="D4" t="s">
        <v>9</v>
      </c>
      <c r="E4" t="s">
        <v>23</v>
      </c>
      <c r="F4" t="s">
        <v>24</v>
      </c>
      <c r="G4" s="1">
        <v>68</v>
      </c>
      <c r="H4">
        <v>3.5</v>
      </c>
      <c r="I4" t="s">
        <v>25</v>
      </c>
      <c r="J4" s="1">
        <v>1945</v>
      </c>
      <c r="K4">
        <v>1973</v>
      </c>
      <c r="L4" t="s">
        <v>26</v>
      </c>
      <c r="M4" t="s">
        <v>217</v>
      </c>
    </row>
    <row r="5" spans="1:13" x14ac:dyDescent="0.2">
      <c r="A5" t="s">
        <v>27</v>
      </c>
      <c r="B5">
        <f t="shared" si="0"/>
        <v>4</v>
      </c>
      <c r="C5" t="s">
        <v>8</v>
      </c>
      <c r="D5" t="s">
        <v>9</v>
      </c>
      <c r="E5" t="s">
        <v>28</v>
      </c>
      <c r="F5" t="s">
        <v>14</v>
      </c>
      <c r="G5" s="1">
        <v>134</v>
      </c>
      <c r="H5">
        <v>5.5</v>
      </c>
      <c r="I5" t="s">
        <v>29</v>
      </c>
      <c r="J5" s="1">
        <v>5590</v>
      </c>
      <c r="K5">
        <v>1906</v>
      </c>
      <c r="L5" t="s">
        <v>30</v>
      </c>
      <c r="M5" t="s">
        <v>217</v>
      </c>
    </row>
    <row r="6" spans="1:13" x14ac:dyDescent="0.2">
      <c r="A6" t="s">
        <v>32</v>
      </c>
      <c r="B6">
        <f t="shared" si="0"/>
        <v>5</v>
      </c>
      <c r="C6" t="s">
        <v>8</v>
      </c>
      <c r="D6" t="s">
        <v>9</v>
      </c>
      <c r="E6" t="s">
        <v>33</v>
      </c>
      <c r="F6" t="s">
        <v>34</v>
      </c>
      <c r="G6" s="1">
        <v>94</v>
      </c>
      <c r="H6">
        <v>4.5</v>
      </c>
      <c r="I6" t="s">
        <v>35</v>
      </c>
      <c r="J6" s="1">
        <v>2360</v>
      </c>
      <c r="K6">
        <v>1971</v>
      </c>
      <c r="L6" t="s">
        <v>36</v>
      </c>
      <c r="M6" t="s">
        <v>217</v>
      </c>
    </row>
    <row r="7" spans="1:13" x14ac:dyDescent="0.2">
      <c r="A7" t="s">
        <v>39</v>
      </c>
      <c r="B7">
        <f t="shared" si="0"/>
        <v>6</v>
      </c>
      <c r="C7" t="s">
        <v>8</v>
      </c>
      <c r="D7" t="s">
        <v>9</v>
      </c>
      <c r="E7" t="s">
        <v>40</v>
      </c>
      <c r="F7" t="s">
        <v>19</v>
      </c>
      <c r="G7" s="1">
        <v>98</v>
      </c>
      <c r="H7">
        <v>3.5</v>
      </c>
      <c r="I7" t="s">
        <v>41</v>
      </c>
      <c r="J7" s="1">
        <v>4424</v>
      </c>
      <c r="K7">
        <v>2010</v>
      </c>
      <c r="L7" t="s">
        <v>42</v>
      </c>
      <c r="M7" t="s">
        <v>217</v>
      </c>
    </row>
    <row r="8" spans="1:13" x14ac:dyDescent="0.2">
      <c r="A8" t="s">
        <v>43</v>
      </c>
      <c r="B8">
        <f t="shared" si="0"/>
        <v>7</v>
      </c>
      <c r="C8" t="s">
        <v>8</v>
      </c>
      <c r="D8" t="s">
        <v>9</v>
      </c>
      <c r="E8" t="s">
        <v>44</v>
      </c>
      <c r="F8" t="s">
        <v>45</v>
      </c>
      <c r="G8" s="1">
        <v>75</v>
      </c>
      <c r="H8">
        <v>3.5</v>
      </c>
      <c r="I8" t="s">
        <v>46</v>
      </c>
      <c r="J8" s="1">
        <v>2780</v>
      </c>
      <c r="K8">
        <v>2025</v>
      </c>
      <c r="L8" t="s">
        <v>47</v>
      </c>
      <c r="M8" t="s">
        <v>217</v>
      </c>
    </row>
    <row r="9" spans="1:13" x14ac:dyDescent="0.2">
      <c r="A9" t="s">
        <v>48</v>
      </c>
      <c r="B9">
        <f t="shared" si="0"/>
        <v>8</v>
      </c>
      <c r="C9" t="s">
        <v>8</v>
      </c>
      <c r="D9" t="s">
        <v>9</v>
      </c>
      <c r="E9" t="s">
        <v>49</v>
      </c>
      <c r="F9" t="s">
        <v>50</v>
      </c>
      <c r="G9" s="1">
        <v>92</v>
      </c>
      <c r="H9">
        <v>4.5</v>
      </c>
      <c r="I9" t="s">
        <v>51</v>
      </c>
      <c r="J9" s="1">
        <v>3370</v>
      </c>
      <c r="K9">
        <v>2025</v>
      </c>
      <c r="L9" t="s">
        <v>47</v>
      </c>
      <c r="M9" t="s">
        <v>217</v>
      </c>
    </row>
    <row r="10" spans="1:13" x14ac:dyDescent="0.2">
      <c r="A10" t="s">
        <v>52</v>
      </c>
      <c r="B10">
        <f t="shared" si="0"/>
        <v>9</v>
      </c>
      <c r="C10" t="s">
        <v>8</v>
      </c>
      <c r="D10" t="s">
        <v>9</v>
      </c>
      <c r="E10" t="s">
        <v>53</v>
      </c>
      <c r="F10" t="s">
        <v>54</v>
      </c>
      <c r="G10" s="1">
        <v>151</v>
      </c>
      <c r="H10">
        <v>4.5</v>
      </c>
      <c r="I10" t="s">
        <v>55</v>
      </c>
      <c r="J10" s="1">
        <v>7350</v>
      </c>
      <c r="K10">
        <v>2015</v>
      </c>
      <c r="L10" t="s">
        <v>56</v>
      </c>
      <c r="M10" t="s">
        <v>217</v>
      </c>
    </row>
    <row r="11" spans="1:13" x14ac:dyDescent="0.2">
      <c r="A11" t="s">
        <v>57</v>
      </c>
      <c r="B11">
        <f t="shared" si="0"/>
        <v>10</v>
      </c>
      <c r="C11" t="s">
        <v>8</v>
      </c>
      <c r="D11" t="s">
        <v>9</v>
      </c>
      <c r="E11" t="s">
        <v>58</v>
      </c>
      <c r="F11" t="s">
        <v>59</v>
      </c>
      <c r="G11" s="1">
        <v>97</v>
      </c>
      <c r="H11">
        <v>2.5</v>
      </c>
      <c r="I11" t="s">
        <v>60</v>
      </c>
      <c r="J11" s="1">
        <v>4320</v>
      </c>
      <c r="K11">
        <v>1890</v>
      </c>
      <c r="L11" t="s">
        <v>61</v>
      </c>
      <c r="M11" t="s">
        <v>217</v>
      </c>
    </row>
    <row r="12" spans="1:13" x14ac:dyDescent="0.2">
      <c r="A12" t="s">
        <v>62</v>
      </c>
      <c r="B12">
        <f t="shared" si="0"/>
        <v>11</v>
      </c>
      <c r="C12" t="s">
        <v>8</v>
      </c>
      <c r="D12" t="s">
        <v>9</v>
      </c>
      <c r="E12" t="s">
        <v>63</v>
      </c>
      <c r="F12" t="s">
        <v>64</v>
      </c>
      <c r="G12" s="1">
        <v>72</v>
      </c>
      <c r="H12">
        <v>3.5</v>
      </c>
      <c r="I12" t="s">
        <v>65</v>
      </c>
      <c r="J12" s="1">
        <v>2860</v>
      </c>
      <c r="K12">
        <v>2025</v>
      </c>
      <c r="L12" t="s">
        <v>66</v>
      </c>
      <c r="M12" t="s">
        <v>217</v>
      </c>
    </row>
    <row r="13" spans="1:13" x14ac:dyDescent="0.2">
      <c r="A13" t="s">
        <v>67</v>
      </c>
      <c r="B13">
        <f t="shared" si="0"/>
        <v>12</v>
      </c>
      <c r="C13" t="s">
        <v>8</v>
      </c>
      <c r="D13" t="s">
        <v>9</v>
      </c>
      <c r="E13" t="s">
        <v>68</v>
      </c>
      <c r="F13" t="s">
        <v>69</v>
      </c>
      <c r="G13" s="1">
        <v>70</v>
      </c>
      <c r="H13">
        <v>3.5</v>
      </c>
      <c r="I13" t="s">
        <v>65</v>
      </c>
      <c r="J13" s="1">
        <v>2860</v>
      </c>
      <c r="K13">
        <v>2025</v>
      </c>
      <c r="L13" t="s">
        <v>66</v>
      </c>
      <c r="M13" t="s">
        <v>217</v>
      </c>
    </row>
    <row r="14" spans="1:13" x14ac:dyDescent="0.2">
      <c r="A14" t="s">
        <v>72</v>
      </c>
      <c r="B14">
        <f t="shared" si="0"/>
        <v>13</v>
      </c>
      <c r="C14" t="s">
        <v>8</v>
      </c>
      <c r="D14" t="s">
        <v>70</v>
      </c>
      <c r="E14" t="s">
        <v>73</v>
      </c>
      <c r="F14" t="s">
        <v>31</v>
      </c>
      <c r="G14" s="1">
        <v>89</v>
      </c>
      <c r="H14">
        <v>3.5</v>
      </c>
      <c r="I14" t="s">
        <v>74</v>
      </c>
      <c r="J14" s="1">
        <v>2740</v>
      </c>
      <c r="K14">
        <v>2022</v>
      </c>
      <c r="L14" t="s">
        <v>75</v>
      </c>
      <c r="M14" t="s">
        <v>217</v>
      </c>
    </row>
    <row r="15" spans="1:13" x14ac:dyDescent="0.2">
      <c r="A15" t="s">
        <v>77</v>
      </c>
      <c r="B15">
        <f t="shared" si="0"/>
        <v>14</v>
      </c>
      <c r="C15" t="s">
        <v>8</v>
      </c>
      <c r="D15" t="s">
        <v>70</v>
      </c>
      <c r="E15" t="s">
        <v>78</v>
      </c>
      <c r="F15" t="s">
        <v>69</v>
      </c>
      <c r="G15" s="1">
        <v>70</v>
      </c>
      <c r="H15">
        <v>2.5</v>
      </c>
      <c r="I15" t="s">
        <v>79</v>
      </c>
      <c r="J15" s="1">
        <v>3180</v>
      </c>
      <c r="K15">
        <v>1957</v>
      </c>
      <c r="L15" t="s">
        <v>80</v>
      </c>
      <c r="M15" t="s">
        <v>217</v>
      </c>
    </row>
    <row r="16" spans="1:13" x14ac:dyDescent="0.2">
      <c r="A16" t="s">
        <v>81</v>
      </c>
      <c r="B16">
        <f t="shared" si="0"/>
        <v>15</v>
      </c>
      <c r="C16" t="s">
        <v>8</v>
      </c>
      <c r="D16" t="s">
        <v>70</v>
      </c>
      <c r="E16" t="s">
        <v>82</v>
      </c>
      <c r="F16" t="s">
        <v>83</v>
      </c>
      <c r="G16" s="1">
        <v>59</v>
      </c>
      <c r="H16">
        <v>2.5</v>
      </c>
      <c r="I16" t="s">
        <v>84</v>
      </c>
      <c r="J16" s="1">
        <v>2230</v>
      </c>
      <c r="K16">
        <v>1956</v>
      </c>
      <c r="L16" t="s">
        <v>85</v>
      </c>
      <c r="M16" t="s">
        <v>217</v>
      </c>
    </row>
    <row r="17" spans="1:13" x14ac:dyDescent="0.2">
      <c r="A17" t="s">
        <v>86</v>
      </c>
      <c r="B17">
        <f t="shared" si="0"/>
        <v>16</v>
      </c>
      <c r="C17" t="s">
        <v>8</v>
      </c>
      <c r="D17" t="s">
        <v>70</v>
      </c>
      <c r="E17" t="s">
        <v>87</v>
      </c>
      <c r="F17" t="s">
        <v>69</v>
      </c>
      <c r="G17" s="1">
        <v>70</v>
      </c>
      <c r="H17">
        <v>3.5</v>
      </c>
      <c r="I17" t="s">
        <v>88</v>
      </c>
      <c r="J17" s="1">
        <v>1735</v>
      </c>
      <c r="K17">
        <v>1971</v>
      </c>
      <c r="L17" t="s">
        <v>89</v>
      </c>
      <c r="M17" t="s">
        <v>217</v>
      </c>
    </row>
    <row r="18" spans="1:13" x14ac:dyDescent="0.2">
      <c r="A18" t="s">
        <v>90</v>
      </c>
      <c r="B18">
        <f t="shared" si="0"/>
        <v>17</v>
      </c>
      <c r="C18" t="s">
        <v>8</v>
      </c>
      <c r="D18" t="s">
        <v>70</v>
      </c>
      <c r="E18" t="s">
        <v>91</v>
      </c>
      <c r="F18" t="s">
        <v>92</v>
      </c>
      <c r="G18" s="1">
        <v>104</v>
      </c>
      <c r="H18">
        <v>4.5</v>
      </c>
      <c r="I18" t="s">
        <v>93</v>
      </c>
      <c r="J18" s="1">
        <v>3970</v>
      </c>
      <c r="K18">
        <v>1961</v>
      </c>
      <c r="L18" t="s">
        <v>94</v>
      </c>
      <c r="M18" t="s">
        <v>217</v>
      </c>
    </row>
    <row r="19" spans="1:13" x14ac:dyDescent="0.2">
      <c r="A19" t="s">
        <v>95</v>
      </c>
      <c r="B19">
        <f t="shared" si="0"/>
        <v>18</v>
      </c>
      <c r="C19" t="s">
        <v>8</v>
      </c>
      <c r="D19" t="s">
        <v>70</v>
      </c>
      <c r="E19" t="s">
        <v>96</v>
      </c>
      <c r="F19" t="s">
        <v>97</v>
      </c>
      <c r="G19" s="1">
        <v>95</v>
      </c>
      <c r="H19">
        <v>3.5</v>
      </c>
      <c r="I19" t="s">
        <v>98</v>
      </c>
      <c r="J19" s="1">
        <v>3220</v>
      </c>
      <c r="K19">
        <v>2019</v>
      </c>
      <c r="L19" t="s">
        <v>99</v>
      </c>
      <c r="M19" t="s">
        <v>217</v>
      </c>
    </row>
    <row r="20" spans="1:13" x14ac:dyDescent="0.2">
      <c r="A20" t="s">
        <v>100</v>
      </c>
      <c r="B20">
        <f t="shared" si="0"/>
        <v>19</v>
      </c>
      <c r="C20" t="s">
        <v>8</v>
      </c>
      <c r="D20" t="s">
        <v>70</v>
      </c>
      <c r="E20" t="s">
        <v>101</v>
      </c>
      <c r="F20" t="s">
        <v>102</v>
      </c>
      <c r="G20" s="1">
        <v>123</v>
      </c>
      <c r="H20">
        <v>4.5</v>
      </c>
      <c r="I20" t="s">
        <v>103</v>
      </c>
      <c r="J20" s="1">
        <v>4500</v>
      </c>
      <c r="K20">
        <v>2001</v>
      </c>
      <c r="L20" t="s">
        <v>104</v>
      </c>
      <c r="M20" t="s">
        <v>217</v>
      </c>
    </row>
    <row r="21" spans="1:13" x14ac:dyDescent="0.2">
      <c r="A21" t="s">
        <v>106</v>
      </c>
      <c r="B21">
        <f t="shared" si="0"/>
        <v>20</v>
      </c>
      <c r="C21" t="s">
        <v>8</v>
      </c>
      <c r="D21" t="s">
        <v>70</v>
      </c>
      <c r="E21" t="s">
        <v>107</v>
      </c>
      <c r="F21" t="s">
        <v>108</v>
      </c>
      <c r="G21" s="1">
        <v>81</v>
      </c>
      <c r="H21">
        <v>4</v>
      </c>
      <c r="I21" t="s">
        <v>109</v>
      </c>
      <c r="J21" s="1">
        <v>1785</v>
      </c>
      <c r="K21">
        <v>1960</v>
      </c>
      <c r="L21" t="s">
        <v>110</v>
      </c>
      <c r="M21" t="s">
        <v>217</v>
      </c>
    </row>
    <row r="22" spans="1:13" x14ac:dyDescent="0.2">
      <c r="A22" t="s">
        <v>111</v>
      </c>
      <c r="B22">
        <f t="shared" si="0"/>
        <v>21</v>
      </c>
      <c r="C22" t="s">
        <v>8</v>
      </c>
      <c r="D22" t="s">
        <v>70</v>
      </c>
      <c r="E22" t="s">
        <v>112</v>
      </c>
      <c r="F22" t="s">
        <v>14</v>
      </c>
      <c r="G22" s="1">
        <v>134</v>
      </c>
      <c r="H22">
        <v>4.5</v>
      </c>
      <c r="I22" t="s">
        <v>113</v>
      </c>
      <c r="J22" s="1">
        <v>4135</v>
      </c>
      <c r="K22">
        <v>2021</v>
      </c>
      <c r="L22" t="s">
        <v>114</v>
      </c>
      <c r="M22" t="s">
        <v>217</v>
      </c>
    </row>
    <row r="23" spans="1:13" x14ac:dyDescent="0.2">
      <c r="A23" t="s">
        <v>116</v>
      </c>
      <c r="B23">
        <f t="shared" si="0"/>
        <v>22</v>
      </c>
      <c r="C23" t="s">
        <v>8</v>
      </c>
      <c r="D23" t="s">
        <v>115</v>
      </c>
      <c r="E23" t="s">
        <v>117</v>
      </c>
      <c r="F23" t="s">
        <v>118</v>
      </c>
      <c r="G23" s="1">
        <v>100</v>
      </c>
      <c r="H23">
        <v>3.5</v>
      </c>
      <c r="I23" t="s">
        <v>119</v>
      </c>
      <c r="J23" s="1">
        <v>3980</v>
      </c>
      <c r="K23">
        <v>2016</v>
      </c>
      <c r="L23" t="s">
        <v>120</v>
      </c>
      <c r="M23" t="s">
        <v>217</v>
      </c>
    </row>
    <row r="24" spans="1:13" x14ac:dyDescent="0.2">
      <c r="A24" t="s">
        <v>121</v>
      </c>
      <c r="B24">
        <f t="shared" si="0"/>
        <v>23</v>
      </c>
      <c r="C24" t="s">
        <v>8</v>
      </c>
      <c r="D24" t="s">
        <v>115</v>
      </c>
      <c r="E24" t="s">
        <v>122</v>
      </c>
      <c r="F24" t="s">
        <v>123</v>
      </c>
      <c r="G24" s="1">
        <v>62</v>
      </c>
      <c r="H24">
        <v>2.5</v>
      </c>
      <c r="I24" t="s">
        <v>124</v>
      </c>
      <c r="J24" s="1">
        <v>2127</v>
      </c>
      <c r="K24">
        <v>2010</v>
      </c>
      <c r="L24" t="s">
        <v>125</v>
      </c>
      <c r="M24" t="s">
        <v>217</v>
      </c>
    </row>
    <row r="25" spans="1:13" x14ac:dyDescent="0.2">
      <c r="A25" t="s">
        <v>126</v>
      </c>
      <c r="B25">
        <f t="shared" si="0"/>
        <v>24</v>
      </c>
      <c r="C25" t="s">
        <v>8</v>
      </c>
      <c r="D25" t="s">
        <v>115</v>
      </c>
      <c r="E25" t="s">
        <v>127</v>
      </c>
      <c r="F25" t="s">
        <v>128</v>
      </c>
      <c r="G25" s="1">
        <v>88</v>
      </c>
      <c r="H25">
        <v>3.5</v>
      </c>
      <c r="I25" t="s">
        <v>129</v>
      </c>
      <c r="J25" s="1">
        <v>2766</v>
      </c>
      <c r="K25">
        <v>2018</v>
      </c>
      <c r="L25" t="s">
        <v>130</v>
      </c>
      <c r="M25" t="s">
        <v>217</v>
      </c>
    </row>
    <row r="26" spans="1:13" x14ac:dyDescent="0.2">
      <c r="A26" t="s">
        <v>132</v>
      </c>
      <c r="B26">
        <f t="shared" si="0"/>
        <v>25</v>
      </c>
      <c r="C26" t="s">
        <v>8</v>
      </c>
      <c r="D26" t="s">
        <v>115</v>
      </c>
      <c r="E26" t="s">
        <v>133</v>
      </c>
      <c r="F26" t="s">
        <v>134</v>
      </c>
      <c r="G26" s="1">
        <v>86</v>
      </c>
      <c r="H26">
        <v>2.5</v>
      </c>
      <c r="I26" t="s">
        <v>135</v>
      </c>
      <c r="J26" s="1">
        <v>2610</v>
      </c>
      <c r="K26">
        <v>1993</v>
      </c>
      <c r="L26" t="s">
        <v>136</v>
      </c>
      <c r="M26" t="s">
        <v>217</v>
      </c>
    </row>
    <row r="27" spans="1:13" x14ac:dyDescent="0.2">
      <c r="A27" t="s">
        <v>137</v>
      </c>
      <c r="B27">
        <f t="shared" si="0"/>
        <v>26</v>
      </c>
      <c r="C27" t="s">
        <v>8</v>
      </c>
      <c r="D27" t="s">
        <v>115</v>
      </c>
      <c r="E27" t="s">
        <v>138</v>
      </c>
      <c r="F27" t="s">
        <v>11</v>
      </c>
      <c r="G27" s="1">
        <v>82</v>
      </c>
      <c r="H27">
        <v>3.5</v>
      </c>
      <c r="I27" t="s">
        <v>139</v>
      </c>
      <c r="J27" s="1">
        <v>2900</v>
      </c>
      <c r="K27">
        <v>1995</v>
      </c>
      <c r="L27" t="s">
        <v>140</v>
      </c>
      <c r="M27" t="s">
        <v>217</v>
      </c>
    </row>
    <row r="28" spans="1:13" x14ac:dyDescent="0.2">
      <c r="A28" t="s">
        <v>142</v>
      </c>
      <c r="B28">
        <f t="shared" si="0"/>
        <v>27</v>
      </c>
      <c r="C28" t="s">
        <v>8</v>
      </c>
      <c r="D28" t="s">
        <v>115</v>
      </c>
      <c r="E28" t="s">
        <v>143</v>
      </c>
      <c r="F28" t="s">
        <v>134</v>
      </c>
      <c r="G28" s="1">
        <v>86</v>
      </c>
      <c r="H28">
        <v>4.5</v>
      </c>
      <c r="I28" t="s">
        <v>144</v>
      </c>
      <c r="J28" s="1">
        <v>2626</v>
      </c>
      <c r="K28">
        <v>1968</v>
      </c>
      <c r="L28" t="s">
        <v>145</v>
      </c>
      <c r="M28" t="s">
        <v>217</v>
      </c>
    </row>
    <row r="29" spans="1:13" x14ac:dyDescent="0.2">
      <c r="A29" t="s">
        <v>146</v>
      </c>
      <c r="B29">
        <f t="shared" si="0"/>
        <v>28</v>
      </c>
      <c r="C29" t="s">
        <v>8</v>
      </c>
      <c r="D29" t="s">
        <v>115</v>
      </c>
      <c r="E29" t="s">
        <v>147</v>
      </c>
      <c r="F29" t="s">
        <v>134</v>
      </c>
      <c r="G29" s="1">
        <v>86</v>
      </c>
      <c r="H29">
        <v>3</v>
      </c>
      <c r="I29" t="s">
        <v>148</v>
      </c>
      <c r="J29" s="1">
        <v>3590</v>
      </c>
      <c r="K29">
        <v>1943</v>
      </c>
      <c r="L29" t="s">
        <v>149</v>
      </c>
      <c r="M29" t="s">
        <v>217</v>
      </c>
    </row>
    <row r="30" spans="1:13" x14ac:dyDescent="0.2">
      <c r="A30" t="s">
        <v>150</v>
      </c>
      <c r="B30">
        <f t="shared" si="0"/>
        <v>29</v>
      </c>
      <c r="C30" t="s">
        <v>8</v>
      </c>
      <c r="D30" t="s">
        <v>115</v>
      </c>
      <c r="E30" t="s">
        <v>151</v>
      </c>
      <c r="F30" t="s">
        <v>118</v>
      </c>
      <c r="G30" s="1">
        <v>100</v>
      </c>
      <c r="H30">
        <v>4.5</v>
      </c>
      <c r="I30" t="s">
        <v>152</v>
      </c>
      <c r="J30" s="1">
        <v>2300</v>
      </c>
      <c r="K30">
        <v>1993</v>
      </c>
      <c r="L30" t="s">
        <v>153</v>
      </c>
      <c r="M30" t="s">
        <v>217</v>
      </c>
    </row>
    <row r="31" spans="1:13" x14ac:dyDescent="0.2">
      <c r="A31" t="s">
        <v>154</v>
      </c>
      <c r="B31">
        <f t="shared" si="0"/>
        <v>30</v>
      </c>
      <c r="C31" t="s">
        <v>8</v>
      </c>
      <c r="D31" t="s">
        <v>115</v>
      </c>
      <c r="E31" t="s">
        <v>155</v>
      </c>
      <c r="F31" t="s">
        <v>156</v>
      </c>
      <c r="G31" s="1">
        <v>63</v>
      </c>
      <c r="H31">
        <v>2.5</v>
      </c>
      <c r="I31" t="s">
        <v>157</v>
      </c>
      <c r="J31" s="1">
        <v>2150</v>
      </c>
      <c r="K31">
        <v>2009</v>
      </c>
      <c r="L31" t="s">
        <v>158</v>
      </c>
      <c r="M31" t="s">
        <v>217</v>
      </c>
    </row>
    <row r="32" spans="1:13" x14ac:dyDescent="0.2">
      <c r="A32" t="s">
        <v>159</v>
      </c>
      <c r="B32">
        <f t="shared" si="0"/>
        <v>31</v>
      </c>
      <c r="C32" t="s">
        <v>8</v>
      </c>
      <c r="D32" t="s">
        <v>115</v>
      </c>
      <c r="E32" t="s">
        <v>160</v>
      </c>
      <c r="F32" t="s">
        <v>24</v>
      </c>
      <c r="G32" s="1">
        <v>68</v>
      </c>
      <c r="H32">
        <v>2.5</v>
      </c>
      <c r="I32" t="s">
        <v>161</v>
      </c>
      <c r="J32" s="1">
        <v>2020</v>
      </c>
      <c r="K32">
        <v>1982</v>
      </c>
      <c r="L32" t="s">
        <v>162</v>
      </c>
      <c r="M32" t="s">
        <v>217</v>
      </c>
    </row>
    <row r="33" spans="1:13" x14ac:dyDescent="0.2">
      <c r="A33" t="s">
        <v>164</v>
      </c>
      <c r="B33">
        <f t="shared" si="0"/>
        <v>32</v>
      </c>
      <c r="C33" t="s">
        <v>8</v>
      </c>
      <c r="D33" t="s">
        <v>163</v>
      </c>
      <c r="E33" t="s">
        <v>165</v>
      </c>
      <c r="F33" t="s">
        <v>166</v>
      </c>
      <c r="G33" s="1">
        <v>90</v>
      </c>
      <c r="H33">
        <v>3.5</v>
      </c>
      <c r="I33" t="s">
        <v>167</v>
      </c>
      <c r="J33" s="1">
        <v>3925</v>
      </c>
      <c r="K33">
        <v>1911</v>
      </c>
      <c r="L33" t="s">
        <v>168</v>
      </c>
      <c r="M33" t="s">
        <v>217</v>
      </c>
    </row>
    <row r="34" spans="1:13" x14ac:dyDescent="0.2">
      <c r="A34" t="s">
        <v>169</v>
      </c>
      <c r="B34">
        <f t="shared" si="0"/>
        <v>33</v>
      </c>
      <c r="C34" t="s">
        <v>8</v>
      </c>
      <c r="D34" t="s">
        <v>163</v>
      </c>
      <c r="E34" t="s">
        <v>170</v>
      </c>
      <c r="F34" t="s">
        <v>171</v>
      </c>
      <c r="G34" s="1">
        <v>140</v>
      </c>
      <c r="H34">
        <v>5.5</v>
      </c>
      <c r="I34" t="s">
        <v>172</v>
      </c>
      <c r="J34" s="1">
        <v>2798</v>
      </c>
      <c r="K34">
        <v>2008</v>
      </c>
      <c r="L34" t="s">
        <v>173</v>
      </c>
      <c r="M34" t="s">
        <v>217</v>
      </c>
    </row>
    <row r="35" spans="1:13" x14ac:dyDescent="0.2">
      <c r="A35" t="s">
        <v>174</v>
      </c>
      <c r="B35">
        <f t="shared" si="0"/>
        <v>34</v>
      </c>
      <c r="C35" t="s">
        <v>8</v>
      </c>
      <c r="D35" t="s">
        <v>163</v>
      </c>
      <c r="E35" t="s">
        <v>175</v>
      </c>
      <c r="F35" t="s">
        <v>176</v>
      </c>
      <c r="G35" s="1">
        <v>126</v>
      </c>
      <c r="H35">
        <v>3.5</v>
      </c>
      <c r="I35" t="s">
        <v>177</v>
      </c>
      <c r="J35" s="1">
        <v>3140</v>
      </c>
      <c r="K35">
        <v>2025</v>
      </c>
      <c r="L35" t="s">
        <v>178</v>
      </c>
      <c r="M35" t="s">
        <v>217</v>
      </c>
    </row>
    <row r="36" spans="1:13" x14ac:dyDescent="0.2">
      <c r="A36" t="s">
        <v>179</v>
      </c>
      <c r="B36">
        <f t="shared" si="0"/>
        <v>35</v>
      </c>
      <c r="C36" t="s">
        <v>8</v>
      </c>
      <c r="D36" t="s">
        <v>163</v>
      </c>
      <c r="E36" t="s">
        <v>180</v>
      </c>
      <c r="F36" t="s">
        <v>181</v>
      </c>
      <c r="G36" s="1">
        <v>109</v>
      </c>
      <c r="H36">
        <v>4.5</v>
      </c>
      <c r="I36" t="s">
        <v>182</v>
      </c>
      <c r="J36" s="1">
        <v>4660</v>
      </c>
      <c r="K36">
        <v>2025</v>
      </c>
      <c r="L36" t="s">
        <v>183</v>
      </c>
      <c r="M36" t="s">
        <v>217</v>
      </c>
    </row>
    <row r="37" spans="1:13" x14ac:dyDescent="0.2">
      <c r="A37" t="s">
        <v>184</v>
      </c>
      <c r="B37">
        <f t="shared" si="0"/>
        <v>36</v>
      </c>
      <c r="C37" t="s">
        <v>8</v>
      </c>
      <c r="D37" t="s">
        <v>163</v>
      </c>
      <c r="E37" t="s">
        <v>185</v>
      </c>
      <c r="F37" t="s">
        <v>186</v>
      </c>
      <c r="G37" s="1">
        <v>105</v>
      </c>
      <c r="H37">
        <v>4.5</v>
      </c>
      <c r="I37" t="s">
        <v>187</v>
      </c>
      <c r="J37" s="1">
        <v>2770</v>
      </c>
      <c r="K37">
        <v>2025</v>
      </c>
      <c r="L37" t="s">
        <v>188</v>
      </c>
      <c r="M37" t="s">
        <v>217</v>
      </c>
    </row>
    <row r="38" spans="1:13" x14ac:dyDescent="0.2">
      <c r="A38" t="s">
        <v>189</v>
      </c>
      <c r="B38">
        <f t="shared" si="0"/>
        <v>37</v>
      </c>
      <c r="C38" t="s">
        <v>8</v>
      </c>
      <c r="D38" t="s">
        <v>163</v>
      </c>
      <c r="E38" t="s">
        <v>190</v>
      </c>
      <c r="F38" t="s">
        <v>191</v>
      </c>
      <c r="G38" s="1">
        <v>110</v>
      </c>
      <c r="H38">
        <v>4.5</v>
      </c>
      <c r="I38" t="s">
        <v>192</v>
      </c>
      <c r="J38" s="1">
        <v>2890</v>
      </c>
      <c r="K38">
        <v>2025</v>
      </c>
      <c r="L38" t="s">
        <v>188</v>
      </c>
      <c r="M38" t="s">
        <v>217</v>
      </c>
    </row>
    <row r="39" spans="1:13" x14ac:dyDescent="0.2">
      <c r="A39" t="s">
        <v>193</v>
      </c>
      <c r="B39">
        <f t="shared" si="0"/>
        <v>38</v>
      </c>
      <c r="C39" t="s">
        <v>8</v>
      </c>
      <c r="D39" t="s">
        <v>163</v>
      </c>
      <c r="E39" t="s">
        <v>194</v>
      </c>
      <c r="F39" t="s">
        <v>128</v>
      </c>
      <c r="G39" s="1">
        <v>88</v>
      </c>
      <c r="H39">
        <v>4.5</v>
      </c>
      <c r="I39" t="s">
        <v>195</v>
      </c>
      <c r="J39" s="1">
        <v>3400</v>
      </c>
      <c r="K39">
        <v>2025</v>
      </c>
      <c r="L39" t="s">
        <v>196</v>
      </c>
      <c r="M39" t="s">
        <v>217</v>
      </c>
    </row>
    <row r="40" spans="1:13" x14ac:dyDescent="0.2">
      <c r="A40" t="s">
        <v>197</v>
      </c>
      <c r="B40">
        <f t="shared" si="0"/>
        <v>39</v>
      </c>
      <c r="C40" t="s">
        <v>8</v>
      </c>
      <c r="D40" t="s">
        <v>163</v>
      </c>
      <c r="E40" t="s">
        <v>198</v>
      </c>
      <c r="F40" t="s">
        <v>199</v>
      </c>
      <c r="G40" s="1">
        <v>58</v>
      </c>
      <c r="H40">
        <v>2.5</v>
      </c>
      <c r="I40" t="s">
        <v>200</v>
      </c>
      <c r="J40" s="1">
        <v>2990</v>
      </c>
      <c r="K40">
        <v>2023</v>
      </c>
      <c r="L40" t="s">
        <v>201</v>
      </c>
      <c r="M40" t="s">
        <v>217</v>
      </c>
    </row>
    <row r="41" spans="1:13" x14ac:dyDescent="0.2">
      <c r="A41" t="s">
        <v>203</v>
      </c>
      <c r="B41">
        <f t="shared" si="0"/>
        <v>40</v>
      </c>
      <c r="C41" t="s">
        <v>8</v>
      </c>
      <c r="D41" t="s">
        <v>163</v>
      </c>
      <c r="E41" t="s">
        <v>204</v>
      </c>
      <c r="F41" t="s">
        <v>191</v>
      </c>
      <c r="G41" s="1">
        <v>110</v>
      </c>
      <c r="H41">
        <v>4.5</v>
      </c>
      <c r="I41" t="s">
        <v>205</v>
      </c>
      <c r="J41" s="1">
        <v>3650</v>
      </c>
      <c r="K41">
        <v>1969</v>
      </c>
      <c r="L41" t="s">
        <v>206</v>
      </c>
      <c r="M41" t="s">
        <v>217</v>
      </c>
    </row>
    <row r="42" spans="1:13" x14ac:dyDescent="0.2">
      <c r="A42" t="s">
        <v>218</v>
      </c>
      <c r="B42">
        <f t="shared" si="0"/>
        <v>41</v>
      </c>
      <c r="C42" t="s">
        <v>219</v>
      </c>
      <c r="D42" t="s">
        <v>220</v>
      </c>
      <c r="E42" t="s">
        <v>221</v>
      </c>
      <c r="F42" t="s">
        <v>222</v>
      </c>
      <c r="G42" s="1">
        <v>71</v>
      </c>
      <c r="H42">
        <v>3.5</v>
      </c>
      <c r="I42" t="s">
        <v>223</v>
      </c>
      <c r="J42" s="1">
        <v>2040</v>
      </c>
      <c r="K42">
        <v>1969</v>
      </c>
      <c r="L42" t="s">
        <v>224</v>
      </c>
      <c r="M42" t="s">
        <v>384</v>
      </c>
    </row>
    <row r="43" spans="1:13" x14ac:dyDescent="0.2">
      <c r="A43" t="s">
        <v>225</v>
      </c>
      <c r="B43">
        <f t="shared" si="0"/>
        <v>42</v>
      </c>
      <c r="C43" t="s">
        <v>219</v>
      </c>
      <c r="D43" t="s">
        <v>220</v>
      </c>
      <c r="E43" t="s">
        <v>226</v>
      </c>
      <c r="F43" t="s">
        <v>227</v>
      </c>
      <c r="G43" s="1">
        <v>76</v>
      </c>
      <c r="H43">
        <v>3.5</v>
      </c>
      <c r="I43" t="s">
        <v>228</v>
      </c>
      <c r="J43" s="1">
        <v>2755</v>
      </c>
      <c r="K43">
        <v>1963</v>
      </c>
      <c r="L43" t="s">
        <v>229</v>
      </c>
      <c r="M43" t="s">
        <v>384</v>
      </c>
    </row>
    <row r="44" spans="1:13" x14ac:dyDescent="0.2">
      <c r="A44" t="s">
        <v>230</v>
      </c>
      <c r="B44">
        <f t="shared" si="0"/>
        <v>43</v>
      </c>
      <c r="C44" t="s">
        <v>219</v>
      </c>
      <c r="D44" t="s">
        <v>220</v>
      </c>
      <c r="E44" t="s">
        <v>231</v>
      </c>
      <c r="F44" t="s">
        <v>24</v>
      </c>
      <c r="G44" s="1">
        <v>68</v>
      </c>
      <c r="H44">
        <v>3.5</v>
      </c>
      <c r="I44" t="s">
        <v>232</v>
      </c>
      <c r="J44" s="1">
        <v>1760</v>
      </c>
      <c r="K44">
        <v>1960</v>
      </c>
      <c r="L44" t="s">
        <v>233</v>
      </c>
      <c r="M44" t="s">
        <v>384</v>
      </c>
    </row>
    <row r="45" spans="1:13" x14ac:dyDescent="0.2">
      <c r="A45" t="s">
        <v>234</v>
      </c>
      <c r="B45">
        <f t="shared" si="0"/>
        <v>44</v>
      </c>
      <c r="C45" t="s">
        <v>219</v>
      </c>
      <c r="D45" t="s">
        <v>220</v>
      </c>
      <c r="E45" t="s">
        <v>235</v>
      </c>
      <c r="F45" t="s">
        <v>236</v>
      </c>
      <c r="G45" s="1">
        <v>83</v>
      </c>
      <c r="H45">
        <v>3.5</v>
      </c>
      <c r="I45" t="s">
        <v>237</v>
      </c>
      <c r="J45" s="1">
        <v>2198</v>
      </c>
      <c r="K45">
        <v>2012</v>
      </c>
      <c r="L45" t="s">
        <v>238</v>
      </c>
      <c r="M45" t="s">
        <v>384</v>
      </c>
    </row>
    <row r="46" spans="1:13" x14ac:dyDescent="0.2">
      <c r="A46" t="s">
        <v>239</v>
      </c>
      <c r="B46">
        <f t="shared" si="0"/>
        <v>45</v>
      </c>
      <c r="C46" t="s">
        <v>219</v>
      </c>
      <c r="D46" t="s">
        <v>220</v>
      </c>
      <c r="E46" t="s">
        <v>240</v>
      </c>
      <c r="F46" t="s">
        <v>207</v>
      </c>
      <c r="G46" s="1">
        <v>77</v>
      </c>
      <c r="H46">
        <v>3</v>
      </c>
      <c r="I46" t="s">
        <v>241</v>
      </c>
      <c r="J46" s="1">
        <v>2170</v>
      </c>
      <c r="K46">
        <v>2001</v>
      </c>
      <c r="L46" t="s">
        <v>242</v>
      </c>
      <c r="M46" t="s">
        <v>384</v>
      </c>
    </row>
    <row r="47" spans="1:13" x14ac:dyDescent="0.2">
      <c r="A47" t="s">
        <v>243</v>
      </c>
      <c r="B47">
        <f t="shared" si="0"/>
        <v>46</v>
      </c>
      <c r="C47" t="s">
        <v>219</v>
      </c>
      <c r="D47" t="s">
        <v>220</v>
      </c>
      <c r="E47" t="s">
        <v>244</v>
      </c>
      <c r="F47" t="s">
        <v>245</v>
      </c>
      <c r="G47" s="1">
        <v>149</v>
      </c>
      <c r="H47">
        <v>4.5</v>
      </c>
      <c r="I47" t="s">
        <v>246</v>
      </c>
      <c r="J47" s="1">
        <v>4040</v>
      </c>
      <c r="K47">
        <v>2011</v>
      </c>
      <c r="L47" t="s">
        <v>247</v>
      </c>
      <c r="M47" t="s">
        <v>384</v>
      </c>
    </row>
    <row r="48" spans="1:13" x14ac:dyDescent="0.2">
      <c r="A48" t="s">
        <v>248</v>
      </c>
      <c r="B48">
        <f t="shared" si="0"/>
        <v>47</v>
      </c>
      <c r="C48" t="s">
        <v>219</v>
      </c>
      <c r="D48" t="s">
        <v>220</v>
      </c>
      <c r="E48" t="s">
        <v>249</v>
      </c>
      <c r="F48" t="s">
        <v>59</v>
      </c>
      <c r="G48" s="1">
        <v>97</v>
      </c>
      <c r="H48">
        <v>4.5</v>
      </c>
      <c r="I48" t="s">
        <v>250</v>
      </c>
      <c r="J48" s="1">
        <v>2400</v>
      </c>
      <c r="K48">
        <v>1969</v>
      </c>
      <c r="L48" t="s">
        <v>251</v>
      </c>
      <c r="M48" t="s">
        <v>384</v>
      </c>
    </row>
    <row r="49" spans="1:13" x14ac:dyDescent="0.2">
      <c r="A49" t="s">
        <v>252</v>
      </c>
      <c r="B49">
        <f t="shared" si="0"/>
        <v>48</v>
      </c>
      <c r="C49" t="s">
        <v>219</v>
      </c>
      <c r="D49" t="s">
        <v>220</v>
      </c>
      <c r="E49" t="s">
        <v>253</v>
      </c>
      <c r="F49" t="s">
        <v>202</v>
      </c>
      <c r="G49" s="1">
        <v>102</v>
      </c>
      <c r="H49">
        <v>3.5</v>
      </c>
      <c r="I49" t="s">
        <v>254</v>
      </c>
      <c r="J49" s="1">
        <v>3610</v>
      </c>
      <c r="K49">
        <v>1979</v>
      </c>
      <c r="L49" t="s">
        <v>255</v>
      </c>
      <c r="M49" t="s">
        <v>384</v>
      </c>
    </row>
    <row r="50" spans="1:13" x14ac:dyDescent="0.2">
      <c r="A50" t="s">
        <v>256</v>
      </c>
      <c r="B50">
        <f t="shared" si="0"/>
        <v>49</v>
      </c>
      <c r="C50" t="s">
        <v>219</v>
      </c>
      <c r="D50" t="s">
        <v>220</v>
      </c>
      <c r="E50" t="s">
        <v>257</v>
      </c>
      <c r="F50" t="s">
        <v>83</v>
      </c>
      <c r="G50" s="1">
        <v>59</v>
      </c>
      <c r="H50">
        <v>2.5</v>
      </c>
      <c r="I50" t="s">
        <v>258</v>
      </c>
      <c r="J50" s="1">
        <v>1610</v>
      </c>
      <c r="K50">
        <v>1972</v>
      </c>
      <c r="L50" t="s">
        <v>259</v>
      </c>
      <c r="M50" t="s">
        <v>384</v>
      </c>
    </row>
    <row r="51" spans="1:13" x14ac:dyDescent="0.2">
      <c r="A51" t="s">
        <v>260</v>
      </c>
      <c r="B51">
        <f t="shared" si="0"/>
        <v>50</v>
      </c>
      <c r="C51" t="s">
        <v>219</v>
      </c>
      <c r="D51" t="s">
        <v>220</v>
      </c>
      <c r="E51" t="s">
        <v>261</v>
      </c>
      <c r="F51" t="s">
        <v>108</v>
      </c>
      <c r="G51" s="1">
        <v>81</v>
      </c>
      <c r="H51">
        <v>4</v>
      </c>
      <c r="I51" t="s">
        <v>262</v>
      </c>
      <c r="J51" s="1">
        <v>2045</v>
      </c>
      <c r="K51">
        <v>1951</v>
      </c>
      <c r="L51" t="s">
        <v>263</v>
      </c>
      <c r="M51" t="s">
        <v>384</v>
      </c>
    </row>
    <row r="52" spans="1:13" x14ac:dyDescent="0.2">
      <c r="A52" t="s">
        <v>264</v>
      </c>
      <c r="B52">
        <f t="shared" si="0"/>
        <v>51</v>
      </c>
      <c r="C52" t="s">
        <v>219</v>
      </c>
      <c r="D52" t="s">
        <v>220</v>
      </c>
      <c r="E52" t="s">
        <v>265</v>
      </c>
      <c r="F52" t="s">
        <v>266</v>
      </c>
      <c r="G52" s="1">
        <v>61</v>
      </c>
      <c r="H52">
        <v>3.5</v>
      </c>
      <c r="I52" t="s">
        <v>267</v>
      </c>
      <c r="J52" s="1">
        <v>1660</v>
      </c>
      <c r="K52">
        <v>2012</v>
      </c>
      <c r="L52" t="s">
        <v>268</v>
      </c>
      <c r="M52" t="s">
        <v>384</v>
      </c>
    </row>
    <row r="53" spans="1:13" x14ac:dyDescent="0.2">
      <c r="A53" t="s">
        <v>269</v>
      </c>
      <c r="B53">
        <f t="shared" si="0"/>
        <v>52</v>
      </c>
      <c r="C53" t="s">
        <v>219</v>
      </c>
      <c r="D53" t="s">
        <v>220</v>
      </c>
      <c r="E53" t="s">
        <v>270</v>
      </c>
      <c r="F53" t="s">
        <v>131</v>
      </c>
      <c r="G53" s="1">
        <v>79</v>
      </c>
      <c r="H53">
        <v>3.5</v>
      </c>
      <c r="I53" t="s">
        <v>192</v>
      </c>
      <c r="J53" s="1">
        <v>2890</v>
      </c>
      <c r="K53">
        <v>1940</v>
      </c>
      <c r="L53" t="s">
        <v>271</v>
      </c>
      <c r="M53" t="s">
        <v>384</v>
      </c>
    </row>
    <row r="54" spans="1:13" x14ac:dyDescent="0.2">
      <c r="A54" t="s">
        <v>272</v>
      </c>
      <c r="B54">
        <f t="shared" si="0"/>
        <v>53</v>
      </c>
      <c r="C54" t="s">
        <v>219</v>
      </c>
      <c r="D54" t="s">
        <v>220</v>
      </c>
      <c r="E54" t="s">
        <v>273</v>
      </c>
      <c r="F54" t="s">
        <v>236</v>
      </c>
      <c r="G54" s="1">
        <v>83</v>
      </c>
      <c r="H54">
        <v>3.5</v>
      </c>
      <c r="I54" t="s">
        <v>274</v>
      </c>
      <c r="J54" s="1">
        <v>3390</v>
      </c>
      <c r="K54">
        <v>1940</v>
      </c>
      <c r="L54" t="s">
        <v>271</v>
      </c>
      <c r="M54" t="s">
        <v>384</v>
      </c>
    </row>
    <row r="55" spans="1:13" x14ac:dyDescent="0.2">
      <c r="A55" t="s">
        <v>275</v>
      </c>
      <c r="B55">
        <f t="shared" si="0"/>
        <v>54</v>
      </c>
      <c r="C55" t="s">
        <v>219</v>
      </c>
      <c r="D55" t="s">
        <v>220</v>
      </c>
      <c r="E55" t="s">
        <v>276</v>
      </c>
      <c r="F55" t="s">
        <v>156</v>
      </c>
      <c r="G55" s="1">
        <v>63</v>
      </c>
      <c r="H55">
        <v>2.5</v>
      </c>
      <c r="I55" t="s">
        <v>277</v>
      </c>
      <c r="J55" s="1">
        <v>1820</v>
      </c>
      <c r="K55">
        <v>2022</v>
      </c>
      <c r="L55" t="s">
        <v>278</v>
      </c>
      <c r="M55" t="s">
        <v>384</v>
      </c>
    </row>
    <row r="56" spans="1:13" x14ac:dyDescent="0.2">
      <c r="A56" t="s">
        <v>279</v>
      </c>
      <c r="B56">
        <f t="shared" si="0"/>
        <v>55</v>
      </c>
      <c r="C56" t="s">
        <v>219</v>
      </c>
      <c r="D56" t="s">
        <v>220</v>
      </c>
      <c r="E56" t="s">
        <v>280</v>
      </c>
      <c r="F56" t="s">
        <v>202</v>
      </c>
      <c r="G56" s="1">
        <v>102</v>
      </c>
      <c r="H56">
        <v>4.5</v>
      </c>
      <c r="I56" t="s">
        <v>281</v>
      </c>
      <c r="J56" s="1">
        <v>3890</v>
      </c>
      <c r="K56">
        <v>1956</v>
      </c>
      <c r="L56" t="s">
        <v>282</v>
      </c>
      <c r="M56" t="s">
        <v>384</v>
      </c>
    </row>
    <row r="57" spans="1:13" x14ac:dyDescent="0.2">
      <c r="A57" t="s">
        <v>283</v>
      </c>
      <c r="B57">
        <f t="shared" si="0"/>
        <v>56</v>
      </c>
      <c r="C57" t="s">
        <v>219</v>
      </c>
      <c r="D57" t="s">
        <v>220</v>
      </c>
      <c r="E57" t="s">
        <v>284</v>
      </c>
      <c r="F57" t="s">
        <v>181</v>
      </c>
      <c r="G57" s="1">
        <v>109</v>
      </c>
      <c r="H57">
        <v>4</v>
      </c>
      <c r="I57" t="s">
        <v>79</v>
      </c>
      <c r="J57" s="1">
        <v>3180</v>
      </c>
      <c r="K57">
        <v>1900</v>
      </c>
      <c r="L57" t="s">
        <v>285</v>
      </c>
      <c r="M57" t="s">
        <v>384</v>
      </c>
    </row>
    <row r="58" spans="1:13" x14ac:dyDescent="0.2">
      <c r="A58" t="s">
        <v>286</v>
      </c>
      <c r="B58">
        <f t="shared" si="0"/>
        <v>57</v>
      </c>
      <c r="C58" t="s">
        <v>219</v>
      </c>
      <c r="D58" t="s">
        <v>220</v>
      </c>
      <c r="E58" t="s">
        <v>287</v>
      </c>
      <c r="F58" t="s">
        <v>288</v>
      </c>
      <c r="G58" s="1">
        <v>101</v>
      </c>
      <c r="H58">
        <v>3.5</v>
      </c>
      <c r="I58" t="s">
        <v>289</v>
      </c>
      <c r="J58" s="1">
        <v>2950</v>
      </c>
      <c r="K58">
        <v>2016</v>
      </c>
      <c r="L58" t="s">
        <v>290</v>
      </c>
      <c r="M58" t="s">
        <v>384</v>
      </c>
    </row>
    <row r="59" spans="1:13" x14ac:dyDescent="0.2">
      <c r="A59" t="s">
        <v>291</v>
      </c>
      <c r="B59">
        <f t="shared" si="0"/>
        <v>58</v>
      </c>
      <c r="C59" t="s">
        <v>219</v>
      </c>
      <c r="D59" t="s">
        <v>220</v>
      </c>
      <c r="E59" t="s">
        <v>292</v>
      </c>
      <c r="F59" t="s">
        <v>245</v>
      </c>
      <c r="G59" s="1">
        <v>149</v>
      </c>
      <c r="H59">
        <v>4.5</v>
      </c>
      <c r="I59" t="s">
        <v>293</v>
      </c>
      <c r="J59" s="1">
        <v>4300</v>
      </c>
      <c r="K59">
        <v>2011</v>
      </c>
      <c r="L59" t="s">
        <v>247</v>
      </c>
      <c r="M59" t="s">
        <v>384</v>
      </c>
    </row>
    <row r="60" spans="1:13" x14ac:dyDescent="0.2">
      <c r="A60" t="s">
        <v>294</v>
      </c>
      <c r="B60">
        <f t="shared" si="0"/>
        <v>59</v>
      </c>
      <c r="C60" t="s">
        <v>219</v>
      </c>
      <c r="D60" t="s">
        <v>220</v>
      </c>
      <c r="E60" t="s">
        <v>295</v>
      </c>
      <c r="F60" t="s">
        <v>296</v>
      </c>
      <c r="G60" s="1">
        <v>193</v>
      </c>
      <c r="H60">
        <v>4.5</v>
      </c>
      <c r="I60" t="s">
        <v>297</v>
      </c>
      <c r="J60" s="1">
        <v>5700</v>
      </c>
      <c r="K60">
        <v>2013</v>
      </c>
      <c r="L60" t="s">
        <v>298</v>
      </c>
      <c r="M60" t="s">
        <v>384</v>
      </c>
    </row>
    <row r="61" spans="1:13" x14ac:dyDescent="0.2">
      <c r="A61" t="s">
        <v>299</v>
      </c>
      <c r="B61">
        <f t="shared" si="0"/>
        <v>60</v>
      </c>
      <c r="C61" t="s">
        <v>219</v>
      </c>
      <c r="D61" t="s">
        <v>220</v>
      </c>
      <c r="E61" t="s">
        <v>300</v>
      </c>
      <c r="F61" t="s">
        <v>212</v>
      </c>
      <c r="G61" s="1">
        <v>113</v>
      </c>
      <c r="H61">
        <v>4.5</v>
      </c>
      <c r="I61" t="s">
        <v>208</v>
      </c>
      <c r="J61" s="1">
        <v>3990</v>
      </c>
      <c r="K61">
        <v>2020</v>
      </c>
      <c r="L61" t="s">
        <v>301</v>
      </c>
      <c r="M61" t="s">
        <v>384</v>
      </c>
    </row>
    <row r="62" spans="1:13" x14ac:dyDescent="0.2">
      <c r="A62" t="s">
        <v>302</v>
      </c>
      <c r="B62">
        <f t="shared" si="0"/>
        <v>61</v>
      </c>
      <c r="C62" t="s">
        <v>303</v>
      </c>
      <c r="D62" t="s">
        <v>304</v>
      </c>
      <c r="E62" t="s">
        <v>305</v>
      </c>
      <c r="F62" t="s">
        <v>306</v>
      </c>
      <c r="G62" s="1">
        <v>40</v>
      </c>
      <c r="H62">
        <v>2.5</v>
      </c>
      <c r="I62" t="s">
        <v>307</v>
      </c>
      <c r="J62" s="1">
        <v>2750</v>
      </c>
      <c r="K62">
        <v>2022</v>
      </c>
      <c r="L62" t="s">
        <v>308</v>
      </c>
      <c r="M62" t="s">
        <v>384</v>
      </c>
    </row>
    <row r="63" spans="1:13" x14ac:dyDescent="0.2">
      <c r="A63" t="s">
        <v>309</v>
      </c>
      <c r="B63">
        <f t="shared" si="0"/>
        <v>62</v>
      </c>
      <c r="C63" t="s">
        <v>303</v>
      </c>
      <c r="D63" t="s">
        <v>304</v>
      </c>
      <c r="E63" t="s">
        <v>310</v>
      </c>
      <c r="F63" t="s">
        <v>306</v>
      </c>
      <c r="G63" s="1">
        <v>40</v>
      </c>
      <c r="H63">
        <v>2.5</v>
      </c>
      <c r="I63" t="s">
        <v>307</v>
      </c>
      <c r="J63" s="1">
        <v>2750</v>
      </c>
      <c r="K63">
        <v>2022</v>
      </c>
      <c r="L63" t="s">
        <v>308</v>
      </c>
      <c r="M63" t="s">
        <v>384</v>
      </c>
    </row>
    <row r="64" spans="1:13" x14ac:dyDescent="0.2">
      <c r="A64" t="s">
        <v>311</v>
      </c>
      <c r="B64">
        <f t="shared" si="0"/>
        <v>63</v>
      </c>
      <c r="C64" t="s">
        <v>303</v>
      </c>
      <c r="D64" t="s">
        <v>304</v>
      </c>
      <c r="E64" t="s">
        <v>312</v>
      </c>
      <c r="F64" t="s">
        <v>222</v>
      </c>
      <c r="G64" s="1">
        <v>71</v>
      </c>
      <c r="H64">
        <v>3</v>
      </c>
      <c r="I64" t="s">
        <v>313</v>
      </c>
      <c r="J64" s="1">
        <v>1650</v>
      </c>
      <c r="K64">
        <v>2001</v>
      </c>
      <c r="L64" t="s">
        <v>314</v>
      </c>
      <c r="M64" t="s">
        <v>384</v>
      </c>
    </row>
    <row r="65" spans="1:13" x14ac:dyDescent="0.2">
      <c r="A65" t="s">
        <v>315</v>
      </c>
      <c r="B65">
        <f t="shared" si="0"/>
        <v>64</v>
      </c>
      <c r="C65" t="s">
        <v>303</v>
      </c>
      <c r="D65" t="s">
        <v>304</v>
      </c>
      <c r="E65" t="s">
        <v>316</v>
      </c>
      <c r="F65" t="s">
        <v>64</v>
      </c>
      <c r="G65" s="1">
        <v>72</v>
      </c>
      <c r="H65">
        <v>3</v>
      </c>
      <c r="I65" t="s">
        <v>71</v>
      </c>
      <c r="J65" s="1">
        <v>1800</v>
      </c>
      <c r="K65">
        <v>2001</v>
      </c>
      <c r="L65" t="s">
        <v>317</v>
      </c>
      <c r="M65" t="s">
        <v>384</v>
      </c>
    </row>
    <row r="66" spans="1:13" x14ac:dyDescent="0.2">
      <c r="A66" t="s">
        <v>318</v>
      </c>
      <c r="B66">
        <f t="shared" si="0"/>
        <v>65</v>
      </c>
      <c r="C66" t="s">
        <v>303</v>
      </c>
      <c r="D66" t="s">
        <v>304</v>
      </c>
      <c r="E66" t="s">
        <v>319</v>
      </c>
      <c r="F66" t="s">
        <v>199</v>
      </c>
      <c r="G66" s="1">
        <v>58</v>
      </c>
      <c r="H66">
        <v>2.5</v>
      </c>
      <c r="I66" t="s">
        <v>320</v>
      </c>
      <c r="J66" s="1">
        <v>1750</v>
      </c>
      <c r="K66">
        <v>2019</v>
      </c>
      <c r="L66" t="s">
        <v>321</v>
      </c>
      <c r="M66" t="s">
        <v>384</v>
      </c>
    </row>
    <row r="67" spans="1:13" x14ac:dyDescent="0.2">
      <c r="A67" t="s">
        <v>322</v>
      </c>
      <c r="B67">
        <f t="shared" si="0"/>
        <v>66</v>
      </c>
      <c r="C67" t="s">
        <v>303</v>
      </c>
      <c r="D67" t="s">
        <v>304</v>
      </c>
      <c r="E67" t="s">
        <v>323</v>
      </c>
      <c r="F67" t="s">
        <v>324</v>
      </c>
      <c r="G67" s="1">
        <v>106</v>
      </c>
      <c r="H67">
        <v>4.5</v>
      </c>
      <c r="I67" t="s">
        <v>325</v>
      </c>
      <c r="J67" s="1">
        <v>2510</v>
      </c>
      <c r="K67">
        <v>2010</v>
      </c>
      <c r="L67" t="s">
        <v>326</v>
      </c>
      <c r="M67" t="s">
        <v>384</v>
      </c>
    </row>
    <row r="68" spans="1:13" x14ac:dyDescent="0.2">
      <c r="A68" t="s">
        <v>327</v>
      </c>
      <c r="B68">
        <f t="shared" ref="B68:B121" si="1">B67+1</f>
        <v>67</v>
      </c>
      <c r="C68" t="s">
        <v>303</v>
      </c>
      <c r="D68" t="s">
        <v>304</v>
      </c>
      <c r="E68" t="s">
        <v>328</v>
      </c>
      <c r="F68" t="s">
        <v>24</v>
      </c>
      <c r="G68" s="1">
        <v>68</v>
      </c>
      <c r="H68">
        <v>3.5</v>
      </c>
      <c r="I68" t="s">
        <v>329</v>
      </c>
      <c r="J68" s="1">
        <v>1615</v>
      </c>
      <c r="K68">
        <v>1964</v>
      </c>
      <c r="L68" t="s">
        <v>330</v>
      </c>
      <c r="M68" t="s">
        <v>384</v>
      </c>
    </row>
    <row r="69" spans="1:13" x14ac:dyDescent="0.2">
      <c r="A69" t="s">
        <v>331</v>
      </c>
      <c r="B69">
        <f t="shared" si="1"/>
        <v>68</v>
      </c>
      <c r="C69" t="s">
        <v>303</v>
      </c>
      <c r="D69" t="s">
        <v>304</v>
      </c>
      <c r="E69" t="s">
        <v>332</v>
      </c>
      <c r="F69" t="s">
        <v>64</v>
      </c>
      <c r="G69" s="1">
        <v>72</v>
      </c>
      <c r="H69">
        <v>3.5</v>
      </c>
      <c r="I69" t="s">
        <v>333</v>
      </c>
      <c r="J69" s="1">
        <v>1790</v>
      </c>
      <c r="K69">
        <v>1968</v>
      </c>
      <c r="L69" t="s">
        <v>334</v>
      </c>
      <c r="M69" t="s">
        <v>384</v>
      </c>
    </row>
    <row r="70" spans="1:13" x14ac:dyDescent="0.2">
      <c r="A70" t="s">
        <v>335</v>
      </c>
      <c r="B70">
        <f t="shared" si="1"/>
        <v>69</v>
      </c>
      <c r="C70" t="s">
        <v>303</v>
      </c>
      <c r="D70" t="s">
        <v>304</v>
      </c>
      <c r="E70" t="s">
        <v>336</v>
      </c>
      <c r="F70" t="s">
        <v>50</v>
      </c>
      <c r="G70" s="1">
        <v>92</v>
      </c>
      <c r="H70">
        <v>3.5</v>
      </c>
      <c r="I70" t="s">
        <v>209</v>
      </c>
      <c r="J70" s="1">
        <v>1890</v>
      </c>
      <c r="K70">
        <v>1983</v>
      </c>
      <c r="L70" t="s">
        <v>337</v>
      </c>
      <c r="M70" t="s">
        <v>384</v>
      </c>
    </row>
    <row r="71" spans="1:13" x14ac:dyDescent="0.2">
      <c r="A71" t="s">
        <v>338</v>
      </c>
      <c r="B71">
        <f t="shared" si="1"/>
        <v>70</v>
      </c>
      <c r="C71" t="s">
        <v>303</v>
      </c>
      <c r="D71" t="s">
        <v>304</v>
      </c>
      <c r="E71" t="s">
        <v>339</v>
      </c>
      <c r="F71" t="s">
        <v>210</v>
      </c>
      <c r="G71" s="1">
        <v>112</v>
      </c>
      <c r="H71">
        <v>4.5</v>
      </c>
      <c r="I71" t="s">
        <v>340</v>
      </c>
      <c r="J71" s="1">
        <v>4140</v>
      </c>
      <c r="K71">
        <v>2025</v>
      </c>
      <c r="L71" t="s">
        <v>341</v>
      </c>
      <c r="M71" t="s">
        <v>384</v>
      </c>
    </row>
    <row r="72" spans="1:13" x14ac:dyDescent="0.2">
      <c r="A72" t="s">
        <v>342</v>
      </c>
      <c r="B72">
        <f t="shared" si="1"/>
        <v>71</v>
      </c>
      <c r="C72" t="s">
        <v>303</v>
      </c>
      <c r="D72" t="s">
        <v>304</v>
      </c>
      <c r="E72" t="s">
        <v>343</v>
      </c>
      <c r="F72" t="s">
        <v>141</v>
      </c>
      <c r="G72" s="1">
        <v>96</v>
      </c>
      <c r="H72">
        <v>3.5</v>
      </c>
      <c r="I72" t="s">
        <v>344</v>
      </c>
      <c r="J72" s="1">
        <v>3770</v>
      </c>
      <c r="K72">
        <v>2025</v>
      </c>
      <c r="L72" t="s">
        <v>345</v>
      </c>
      <c r="M72" t="s">
        <v>384</v>
      </c>
    </row>
    <row r="73" spans="1:13" x14ac:dyDescent="0.2">
      <c r="A73" t="s">
        <v>346</v>
      </c>
      <c r="B73">
        <f t="shared" si="1"/>
        <v>72</v>
      </c>
      <c r="C73" t="s">
        <v>347</v>
      </c>
      <c r="D73" t="s">
        <v>348</v>
      </c>
      <c r="E73" t="s">
        <v>349</v>
      </c>
      <c r="F73" t="s">
        <v>350</v>
      </c>
      <c r="G73" s="1">
        <v>119</v>
      </c>
      <c r="H73">
        <v>3.5</v>
      </c>
      <c r="I73" t="s">
        <v>351</v>
      </c>
      <c r="J73" s="1">
        <v>4550</v>
      </c>
      <c r="K73">
        <v>2022</v>
      </c>
      <c r="L73" t="s">
        <v>352</v>
      </c>
      <c r="M73" t="s">
        <v>384</v>
      </c>
    </row>
    <row r="74" spans="1:13" x14ac:dyDescent="0.2">
      <c r="A74" t="s">
        <v>353</v>
      </c>
      <c r="B74">
        <f t="shared" si="1"/>
        <v>73</v>
      </c>
      <c r="C74" t="s">
        <v>347</v>
      </c>
      <c r="D74" t="s">
        <v>348</v>
      </c>
      <c r="E74" t="s">
        <v>354</v>
      </c>
      <c r="F74" t="s">
        <v>171</v>
      </c>
      <c r="G74" s="1">
        <v>140</v>
      </c>
      <c r="H74">
        <v>2.5</v>
      </c>
      <c r="I74" t="s">
        <v>250</v>
      </c>
      <c r="J74" s="1">
        <v>2400</v>
      </c>
      <c r="K74">
        <v>1970</v>
      </c>
      <c r="L74" t="s">
        <v>355</v>
      </c>
      <c r="M74" t="s">
        <v>384</v>
      </c>
    </row>
    <row r="75" spans="1:13" x14ac:dyDescent="0.2">
      <c r="A75" t="s">
        <v>356</v>
      </c>
      <c r="B75">
        <f t="shared" si="1"/>
        <v>74</v>
      </c>
      <c r="C75" t="s">
        <v>347</v>
      </c>
      <c r="D75" t="s">
        <v>348</v>
      </c>
      <c r="E75" t="s">
        <v>357</v>
      </c>
      <c r="F75" t="s">
        <v>97</v>
      </c>
      <c r="G75" s="1">
        <v>95</v>
      </c>
      <c r="H75">
        <v>2.5</v>
      </c>
      <c r="I75" t="s">
        <v>358</v>
      </c>
      <c r="J75" s="1">
        <v>2590</v>
      </c>
      <c r="K75">
        <v>2025</v>
      </c>
      <c r="L75" t="s">
        <v>359</v>
      </c>
      <c r="M75" t="s">
        <v>384</v>
      </c>
    </row>
    <row r="76" spans="1:13" x14ac:dyDescent="0.2">
      <c r="A76" t="s">
        <v>360</v>
      </c>
      <c r="B76">
        <f t="shared" si="1"/>
        <v>75</v>
      </c>
      <c r="C76" t="s">
        <v>347</v>
      </c>
      <c r="D76" t="s">
        <v>348</v>
      </c>
      <c r="E76" t="s">
        <v>361</v>
      </c>
      <c r="F76" t="s">
        <v>141</v>
      </c>
      <c r="G76" s="1">
        <v>96</v>
      </c>
      <c r="H76">
        <v>3.5</v>
      </c>
      <c r="I76" t="s">
        <v>362</v>
      </c>
      <c r="J76" s="1">
        <v>3680</v>
      </c>
      <c r="K76">
        <v>2025</v>
      </c>
      <c r="L76" t="s">
        <v>345</v>
      </c>
      <c r="M76" t="s">
        <v>384</v>
      </c>
    </row>
    <row r="77" spans="1:13" x14ac:dyDescent="0.2">
      <c r="A77" t="s">
        <v>363</v>
      </c>
      <c r="B77">
        <f t="shared" si="1"/>
        <v>76</v>
      </c>
      <c r="C77" t="s">
        <v>347</v>
      </c>
      <c r="D77" t="s">
        <v>348</v>
      </c>
      <c r="E77" t="s">
        <v>364</v>
      </c>
      <c r="F77" t="s">
        <v>214</v>
      </c>
      <c r="G77" s="1">
        <v>93</v>
      </c>
      <c r="H77">
        <v>2.5</v>
      </c>
      <c r="I77" t="s">
        <v>365</v>
      </c>
      <c r="J77" s="1">
        <v>2050</v>
      </c>
      <c r="K77">
        <v>2000</v>
      </c>
      <c r="L77" t="s">
        <v>366</v>
      </c>
      <c r="M77" t="s">
        <v>384</v>
      </c>
    </row>
    <row r="78" spans="1:13" x14ac:dyDescent="0.2">
      <c r="A78" t="s">
        <v>367</v>
      </c>
      <c r="B78">
        <f t="shared" si="1"/>
        <v>77</v>
      </c>
      <c r="C78" t="s">
        <v>347</v>
      </c>
      <c r="D78" t="s">
        <v>348</v>
      </c>
      <c r="E78" t="s">
        <v>368</v>
      </c>
      <c r="F78" t="s">
        <v>11</v>
      </c>
      <c r="G78" s="1">
        <v>82</v>
      </c>
      <c r="H78">
        <v>3.5</v>
      </c>
      <c r="I78" t="s">
        <v>71</v>
      </c>
      <c r="J78" s="1">
        <v>1800</v>
      </c>
      <c r="K78">
        <v>1962</v>
      </c>
      <c r="L78" t="s">
        <v>369</v>
      </c>
      <c r="M78" t="s">
        <v>384</v>
      </c>
    </row>
    <row r="79" spans="1:13" x14ac:dyDescent="0.2">
      <c r="A79" t="s">
        <v>370</v>
      </c>
      <c r="B79">
        <f t="shared" si="1"/>
        <v>78</v>
      </c>
      <c r="C79" t="s">
        <v>347</v>
      </c>
      <c r="D79" t="s">
        <v>348</v>
      </c>
      <c r="E79" t="s">
        <v>371</v>
      </c>
      <c r="F79" t="s">
        <v>215</v>
      </c>
      <c r="G79" s="1">
        <v>78</v>
      </c>
      <c r="H79">
        <v>2.5</v>
      </c>
      <c r="I79" t="s">
        <v>372</v>
      </c>
      <c r="J79" s="1">
        <v>2690</v>
      </c>
      <c r="K79">
        <v>1900</v>
      </c>
      <c r="L79" t="s">
        <v>373</v>
      </c>
      <c r="M79" t="s">
        <v>384</v>
      </c>
    </row>
    <row r="80" spans="1:13" x14ac:dyDescent="0.2">
      <c r="A80" t="s">
        <v>374</v>
      </c>
      <c r="B80">
        <f t="shared" si="1"/>
        <v>79</v>
      </c>
      <c r="C80" t="s">
        <v>347</v>
      </c>
      <c r="D80" t="s">
        <v>348</v>
      </c>
      <c r="E80" t="s">
        <v>375</v>
      </c>
      <c r="F80" t="s">
        <v>64</v>
      </c>
      <c r="G80" s="1">
        <v>72</v>
      </c>
      <c r="H80">
        <v>3.5</v>
      </c>
      <c r="I80" t="s">
        <v>376</v>
      </c>
      <c r="J80" s="1">
        <v>2675</v>
      </c>
      <c r="K80">
        <v>1963</v>
      </c>
      <c r="L80" t="s">
        <v>377</v>
      </c>
      <c r="M80" t="s">
        <v>384</v>
      </c>
    </row>
    <row r="81" spans="1:13" x14ac:dyDescent="0.2">
      <c r="A81" t="s">
        <v>378</v>
      </c>
      <c r="B81">
        <f t="shared" si="1"/>
        <v>80</v>
      </c>
      <c r="C81" t="s">
        <v>347</v>
      </c>
      <c r="D81" t="s">
        <v>348</v>
      </c>
      <c r="E81" t="s">
        <v>379</v>
      </c>
      <c r="F81" t="s">
        <v>64</v>
      </c>
      <c r="G81" s="1">
        <v>72</v>
      </c>
      <c r="H81">
        <v>3.5</v>
      </c>
      <c r="I81" t="s">
        <v>380</v>
      </c>
      <c r="J81" s="1">
        <v>1825</v>
      </c>
      <c r="K81">
        <v>1964</v>
      </c>
      <c r="L81" t="s">
        <v>381</v>
      </c>
      <c r="M81" t="s">
        <v>384</v>
      </c>
    </row>
    <row r="82" spans="1:13" x14ac:dyDescent="0.2">
      <c r="A82" t="s">
        <v>385</v>
      </c>
      <c r="B82">
        <f t="shared" si="1"/>
        <v>81</v>
      </c>
      <c r="C82" t="s">
        <v>386</v>
      </c>
      <c r="D82" t="s">
        <v>387</v>
      </c>
      <c r="E82" t="s">
        <v>388</v>
      </c>
      <c r="F82" t="s">
        <v>389</v>
      </c>
      <c r="G82" s="1">
        <v>133</v>
      </c>
      <c r="H82">
        <v>3.5</v>
      </c>
      <c r="I82" t="s">
        <v>390</v>
      </c>
      <c r="J82" s="1">
        <v>3150</v>
      </c>
      <c r="K82">
        <v>2025</v>
      </c>
      <c r="L82" t="s">
        <v>391</v>
      </c>
      <c r="M82" t="s">
        <v>537</v>
      </c>
    </row>
    <row r="83" spans="1:13" x14ac:dyDescent="0.2">
      <c r="A83" t="s">
        <v>392</v>
      </c>
      <c r="B83">
        <f t="shared" si="1"/>
        <v>82</v>
      </c>
      <c r="C83" t="s">
        <v>386</v>
      </c>
      <c r="D83" t="s">
        <v>387</v>
      </c>
      <c r="E83" t="s">
        <v>393</v>
      </c>
      <c r="F83" t="s">
        <v>105</v>
      </c>
      <c r="G83" s="1">
        <v>67</v>
      </c>
      <c r="H83">
        <v>2.5</v>
      </c>
      <c r="I83" t="s">
        <v>37</v>
      </c>
      <c r="J83" s="1">
        <v>1690</v>
      </c>
      <c r="K83">
        <v>1966</v>
      </c>
      <c r="L83" t="s">
        <v>394</v>
      </c>
      <c r="M83" t="s">
        <v>537</v>
      </c>
    </row>
    <row r="84" spans="1:13" x14ac:dyDescent="0.2">
      <c r="A84" t="s">
        <v>395</v>
      </c>
      <c r="B84">
        <f t="shared" si="1"/>
        <v>83</v>
      </c>
      <c r="C84" t="s">
        <v>386</v>
      </c>
      <c r="D84" t="s">
        <v>387</v>
      </c>
      <c r="E84" t="s">
        <v>396</v>
      </c>
      <c r="F84" t="s">
        <v>97</v>
      </c>
      <c r="G84" s="1">
        <v>95</v>
      </c>
      <c r="H84">
        <v>3.5</v>
      </c>
      <c r="I84" t="s">
        <v>397</v>
      </c>
      <c r="J84" s="1">
        <v>1950</v>
      </c>
      <c r="K84">
        <v>2025</v>
      </c>
      <c r="L84" t="s">
        <v>398</v>
      </c>
      <c r="M84" t="s">
        <v>537</v>
      </c>
    </row>
    <row r="85" spans="1:13" x14ac:dyDescent="0.2">
      <c r="A85" t="s">
        <v>399</v>
      </c>
      <c r="B85">
        <f t="shared" si="1"/>
        <v>84</v>
      </c>
      <c r="C85" t="s">
        <v>386</v>
      </c>
      <c r="D85" t="s">
        <v>387</v>
      </c>
      <c r="E85" t="s">
        <v>400</v>
      </c>
      <c r="F85" t="s">
        <v>69</v>
      </c>
      <c r="G85" s="1">
        <v>70</v>
      </c>
      <c r="H85">
        <v>2.5</v>
      </c>
      <c r="I85" t="s">
        <v>76</v>
      </c>
      <c r="J85" s="1">
        <v>1600</v>
      </c>
      <c r="K85">
        <v>2025</v>
      </c>
      <c r="L85" t="s">
        <v>398</v>
      </c>
      <c r="M85" t="s">
        <v>537</v>
      </c>
    </row>
    <row r="86" spans="1:13" x14ac:dyDescent="0.2">
      <c r="A86" t="s">
        <v>401</v>
      </c>
      <c r="B86">
        <f t="shared" si="1"/>
        <v>85</v>
      </c>
      <c r="C86" t="s">
        <v>386</v>
      </c>
      <c r="D86" t="s">
        <v>402</v>
      </c>
      <c r="E86" t="s">
        <v>403</v>
      </c>
      <c r="F86" t="s">
        <v>11</v>
      </c>
      <c r="G86" s="1">
        <v>82</v>
      </c>
      <c r="H86">
        <v>3.5</v>
      </c>
      <c r="I86" t="s">
        <v>320</v>
      </c>
      <c r="J86" s="1">
        <v>1750</v>
      </c>
      <c r="K86">
        <v>2010</v>
      </c>
      <c r="L86" t="s">
        <v>404</v>
      </c>
      <c r="M86" t="s">
        <v>537</v>
      </c>
    </row>
    <row r="87" spans="1:13" x14ac:dyDescent="0.2">
      <c r="A87" t="s">
        <v>405</v>
      </c>
      <c r="B87">
        <f t="shared" si="1"/>
        <v>86</v>
      </c>
      <c r="C87" t="s">
        <v>386</v>
      </c>
      <c r="D87" t="s">
        <v>402</v>
      </c>
      <c r="E87" t="s">
        <v>406</v>
      </c>
      <c r="F87" t="s">
        <v>69</v>
      </c>
      <c r="G87" s="1">
        <v>70</v>
      </c>
      <c r="H87">
        <v>3</v>
      </c>
      <c r="I87" t="s">
        <v>407</v>
      </c>
      <c r="J87" s="1">
        <v>1480</v>
      </c>
      <c r="K87">
        <v>1961</v>
      </c>
      <c r="L87" t="s">
        <v>408</v>
      </c>
      <c r="M87" t="s">
        <v>537</v>
      </c>
    </row>
    <row r="88" spans="1:13" x14ac:dyDescent="0.2">
      <c r="A88" t="s">
        <v>409</v>
      </c>
      <c r="B88">
        <f t="shared" si="1"/>
        <v>87</v>
      </c>
      <c r="C88" t="s">
        <v>386</v>
      </c>
      <c r="D88" t="s">
        <v>402</v>
      </c>
      <c r="E88" t="s">
        <v>410</v>
      </c>
      <c r="F88" t="s">
        <v>102</v>
      </c>
      <c r="G88" s="1">
        <v>123</v>
      </c>
      <c r="H88">
        <v>5.5</v>
      </c>
      <c r="I88" t="s">
        <v>411</v>
      </c>
      <c r="J88" s="1">
        <v>2410</v>
      </c>
      <c r="K88">
        <v>2003</v>
      </c>
      <c r="L88" t="s">
        <v>412</v>
      </c>
      <c r="M88" t="s">
        <v>537</v>
      </c>
    </row>
    <row r="89" spans="1:13" x14ac:dyDescent="0.2">
      <c r="A89" t="s">
        <v>413</v>
      </c>
      <c r="B89">
        <f t="shared" si="1"/>
        <v>88</v>
      </c>
      <c r="C89" t="s">
        <v>386</v>
      </c>
      <c r="D89" t="s">
        <v>402</v>
      </c>
      <c r="E89" t="s">
        <v>414</v>
      </c>
      <c r="F89" t="s">
        <v>415</v>
      </c>
      <c r="G89" s="1">
        <v>80</v>
      </c>
      <c r="H89">
        <v>4</v>
      </c>
      <c r="I89" t="s">
        <v>416</v>
      </c>
      <c r="J89" s="1">
        <v>1450</v>
      </c>
      <c r="K89">
        <v>1958</v>
      </c>
      <c r="L89" t="s">
        <v>417</v>
      </c>
      <c r="M89" t="s">
        <v>537</v>
      </c>
    </row>
    <row r="90" spans="1:13" x14ac:dyDescent="0.2">
      <c r="A90" t="s">
        <v>418</v>
      </c>
      <c r="B90">
        <f t="shared" si="1"/>
        <v>89</v>
      </c>
      <c r="C90" t="s">
        <v>386</v>
      </c>
      <c r="D90" t="s">
        <v>402</v>
      </c>
      <c r="E90" t="s">
        <v>419</v>
      </c>
      <c r="F90" t="s">
        <v>236</v>
      </c>
      <c r="G90" s="1">
        <v>83</v>
      </c>
      <c r="H90">
        <v>3.5</v>
      </c>
      <c r="I90" t="s">
        <v>267</v>
      </c>
      <c r="J90" s="1">
        <v>1660</v>
      </c>
      <c r="K90">
        <v>1981</v>
      </c>
      <c r="L90" t="s">
        <v>420</v>
      </c>
      <c r="M90" t="s">
        <v>537</v>
      </c>
    </row>
    <row r="91" spans="1:13" x14ac:dyDescent="0.2">
      <c r="A91" t="s">
        <v>421</v>
      </c>
      <c r="B91">
        <f t="shared" si="1"/>
        <v>90</v>
      </c>
      <c r="C91" t="s">
        <v>386</v>
      </c>
      <c r="D91" t="s">
        <v>402</v>
      </c>
      <c r="E91" t="s">
        <v>422</v>
      </c>
      <c r="F91" t="s">
        <v>415</v>
      </c>
      <c r="G91" s="1">
        <v>80</v>
      </c>
      <c r="H91">
        <v>3.5</v>
      </c>
      <c r="I91" t="s">
        <v>423</v>
      </c>
      <c r="J91" s="1">
        <v>1920</v>
      </c>
      <c r="K91">
        <v>1983</v>
      </c>
      <c r="L91" t="s">
        <v>424</v>
      </c>
      <c r="M91" t="s">
        <v>537</v>
      </c>
    </row>
    <row r="92" spans="1:13" x14ac:dyDescent="0.2">
      <c r="A92" t="s">
        <v>425</v>
      </c>
      <c r="B92">
        <f t="shared" si="1"/>
        <v>91</v>
      </c>
      <c r="C92" t="s">
        <v>386</v>
      </c>
      <c r="D92" t="s">
        <v>402</v>
      </c>
      <c r="E92" t="s">
        <v>426</v>
      </c>
      <c r="F92" t="s">
        <v>123</v>
      </c>
      <c r="G92" s="1">
        <v>62</v>
      </c>
      <c r="H92">
        <v>2.5</v>
      </c>
      <c r="I92" t="s">
        <v>427</v>
      </c>
      <c r="J92" s="1">
        <v>2882</v>
      </c>
      <c r="K92">
        <v>1959</v>
      </c>
      <c r="L92" t="s">
        <v>428</v>
      </c>
      <c r="M92" t="s">
        <v>537</v>
      </c>
    </row>
    <row r="93" spans="1:13" x14ac:dyDescent="0.2">
      <c r="A93" t="s">
        <v>429</v>
      </c>
      <c r="B93">
        <f t="shared" si="1"/>
        <v>92</v>
      </c>
      <c r="C93" t="s">
        <v>386</v>
      </c>
      <c r="D93" t="s">
        <v>402</v>
      </c>
      <c r="E93" t="s">
        <v>430</v>
      </c>
      <c r="F93" t="s">
        <v>415</v>
      </c>
      <c r="G93" s="1">
        <v>80</v>
      </c>
      <c r="H93">
        <v>4.5</v>
      </c>
      <c r="I93" t="s">
        <v>431</v>
      </c>
      <c r="J93" s="1">
        <v>1849</v>
      </c>
      <c r="K93">
        <v>1950</v>
      </c>
      <c r="L93" t="s">
        <v>432</v>
      </c>
      <c r="M93" t="s">
        <v>537</v>
      </c>
    </row>
    <row r="94" spans="1:13" x14ac:dyDescent="0.2">
      <c r="A94" t="s">
        <v>433</v>
      </c>
      <c r="B94">
        <f t="shared" si="1"/>
        <v>93</v>
      </c>
      <c r="C94" t="s">
        <v>386</v>
      </c>
      <c r="D94" t="s">
        <v>402</v>
      </c>
      <c r="E94" t="s">
        <v>434</v>
      </c>
      <c r="F94" t="s">
        <v>105</v>
      </c>
      <c r="G94" s="1">
        <v>67</v>
      </c>
      <c r="H94">
        <v>3.5</v>
      </c>
      <c r="I94" t="s">
        <v>435</v>
      </c>
      <c r="J94" s="1">
        <v>1180</v>
      </c>
      <c r="K94">
        <v>1973</v>
      </c>
      <c r="L94" t="s">
        <v>436</v>
      </c>
      <c r="M94" t="s">
        <v>537</v>
      </c>
    </row>
    <row r="95" spans="1:13" x14ac:dyDescent="0.2">
      <c r="A95" t="s">
        <v>437</v>
      </c>
      <c r="B95">
        <f t="shared" si="1"/>
        <v>94</v>
      </c>
      <c r="C95" t="s">
        <v>386</v>
      </c>
      <c r="D95" t="s">
        <v>402</v>
      </c>
      <c r="E95" t="s">
        <v>438</v>
      </c>
      <c r="F95" t="s">
        <v>213</v>
      </c>
      <c r="G95" s="1">
        <v>74</v>
      </c>
      <c r="H95">
        <v>3.5</v>
      </c>
      <c r="I95" t="s">
        <v>439</v>
      </c>
      <c r="J95" s="1">
        <v>1360</v>
      </c>
      <c r="K95">
        <v>1991</v>
      </c>
      <c r="L95" t="s">
        <v>440</v>
      </c>
      <c r="M95" t="s">
        <v>537</v>
      </c>
    </row>
    <row r="96" spans="1:13" x14ac:dyDescent="0.2">
      <c r="A96" t="s">
        <v>441</v>
      </c>
      <c r="B96">
        <f t="shared" si="1"/>
        <v>95</v>
      </c>
      <c r="C96" t="s">
        <v>386</v>
      </c>
      <c r="D96" t="s">
        <v>402</v>
      </c>
      <c r="E96" t="s">
        <v>442</v>
      </c>
      <c r="F96" t="s">
        <v>45</v>
      </c>
      <c r="G96" s="1">
        <v>75</v>
      </c>
      <c r="H96">
        <v>3.5</v>
      </c>
      <c r="I96" t="s">
        <v>382</v>
      </c>
      <c r="J96" s="1">
        <v>1860</v>
      </c>
      <c r="K96">
        <v>2015</v>
      </c>
      <c r="L96" t="s">
        <v>443</v>
      </c>
      <c r="M96" t="s">
        <v>537</v>
      </c>
    </row>
    <row r="97" spans="1:13" x14ac:dyDescent="0.2">
      <c r="A97" t="s">
        <v>444</v>
      </c>
      <c r="B97">
        <f t="shared" si="1"/>
        <v>96</v>
      </c>
      <c r="C97" t="s">
        <v>386</v>
      </c>
      <c r="D97" t="s">
        <v>402</v>
      </c>
      <c r="E97" t="s">
        <v>445</v>
      </c>
      <c r="F97" t="s">
        <v>141</v>
      </c>
      <c r="G97" s="1">
        <v>96</v>
      </c>
      <c r="H97">
        <v>3</v>
      </c>
      <c r="I97" t="s">
        <v>446</v>
      </c>
      <c r="J97" s="1">
        <v>2140</v>
      </c>
      <c r="K97">
        <v>1997</v>
      </c>
      <c r="L97" t="s">
        <v>447</v>
      </c>
      <c r="M97" t="s">
        <v>537</v>
      </c>
    </row>
    <row r="98" spans="1:13" x14ac:dyDescent="0.2">
      <c r="A98" t="s">
        <v>448</v>
      </c>
      <c r="B98">
        <f t="shared" si="1"/>
        <v>97</v>
      </c>
      <c r="C98" t="s">
        <v>386</v>
      </c>
      <c r="D98" t="s">
        <v>402</v>
      </c>
      <c r="E98" t="s">
        <v>449</v>
      </c>
      <c r="F98" t="s">
        <v>38</v>
      </c>
      <c r="G98" s="1">
        <v>116</v>
      </c>
      <c r="H98">
        <v>5.5</v>
      </c>
      <c r="I98" t="s">
        <v>223</v>
      </c>
      <c r="J98" s="1">
        <v>2040</v>
      </c>
      <c r="K98">
        <v>1983</v>
      </c>
      <c r="L98" t="s">
        <v>450</v>
      </c>
      <c r="M98" t="s">
        <v>537</v>
      </c>
    </row>
    <row r="99" spans="1:13" x14ac:dyDescent="0.2">
      <c r="A99" t="s">
        <v>451</v>
      </c>
      <c r="B99">
        <f t="shared" si="1"/>
        <v>98</v>
      </c>
      <c r="C99" t="s">
        <v>386</v>
      </c>
      <c r="D99" t="s">
        <v>402</v>
      </c>
      <c r="E99" t="s">
        <v>452</v>
      </c>
      <c r="F99" t="s">
        <v>181</v>
      </c>
      <c r="G99" s="1">
        <v>109</v>
      </c>
      <c r="H99">
        <v>4.5</v>
      </c>
      <c r="I99" t="s">
        <v>453</v>
      </c>
      <c r="J99" s="1">
        <v>2232</v>
      </c>
      <c r="K99">
        <v>2014</v>
      </c>
      <c r="L99" t="s">
        <v>454</v>
      </c>
      <c r="M99" t="s">
        <v>537</v>
      </c>
    </row>
    <row r="100" spans="1:13" x14ac:dyDescent="0.2">
      <c r="A100" t="s">
        <v>455</v>
      </c>
      <c r="B100">
        <f t="shared" si="1"/>
        <v>99</v>
      </c>
      <c r="C100" t="s">
        <v>386</v>
      </c>
      <c r="D100" t="s">
        <v>402</v>
      </c>
      <c r="E100" t="s">
        <v>456</v>
      </c>
      <c r="F100" t="s">
        <v>457</v>
      </c>
      <c r="G100" s="1">
        <v>103</v>
      </c>
      <c r="H100">
        <v>3.5</v>
      </c>
      <c r="I100" t="s">
        <v>458</v>
      </c>
      <c r="J100" s="1">
        <v>2570</v>
      </c>
      <c r="K100">
        <v>2012</v>
      </c>
      <c r="L100" t="s">
        <v>459</v>
      </c>
      <c r="M100" t="s">
        <v>537</v>
      </c>
    </row>
    <row r="101" spans="1:13" x14ac:dyDescent="0.2">
      <c r="A101" t="s">
        <v>460</v>
      </c>
      <c r="B101">
        <f t="shared" si="1"/>
        <v>100</v>
      </c>
      <c r="C101" t="s">
        <v>386</v>
      </c>
      <c r="D101" t="s">
        <v>402</v>
      </c>
      <c r="E101" t="s">
        <v>461</v>
      </c>
      <c r="F101" t="s">
        <v>227</v>
      </c>
      <c r="G101" s="1">
        <v>76</v>
      </c>
      <c r="H101">
        <v>3.5</v>
      </c>
      <c r="I101" t="s">
        <v>232</v>
      </c>
      <c r="J101" s="1">
        <v>1760</v>
      </c>
      <c r="K101">
        <v>1992</v>
      </c>
      <c r="L101" t="s">
        <v>462</v>
      </c>
      <c r="M101" t="s">
        <v>537</v>
      </c>
    </row>
    <row r="102" spans="1:13" x14ac:dyDescent="0.2">
      <c r="A102" t="s">
        <v>463</v>
      </c>
      <c r="B102">
        <f t="shared" si="1"/>
        <v>101</v>
      </c>
      <c r="C102" t="s">
        <v>386</v>
      </c>
      <c r="D102" t="s">
        <v>402</v>
      </c>
      <c r="E102" t="s">
        <v>464</v>
      </c>
      <c r="F102" t="s">
        <v>69</v>
      </c>
      <c r="G102" s="1">
        <v>70</v>
      </c>
      <c r="H102">
        <v>3.5</v>
      </c>
      <c r="I102" t="s">
        <v>465</v>
      </c>
      <c r="J102" s="1">
        <v>2240</v>
      </c>
      <c r="K102">
        <v>2022</v>
      </c>
      <c r="L102" t="s">
        <v>466</v>
      </c>
      <c r="M102" t="s">
        <v>537</v>
      </c>
    </row>
    <row r="103" spans="1:13" x14ac:dyDescent="0.2">
      <c r="A103" t="s">
        <v>467</v>
      </c>
      <c r="B103">
        <f t="shared" si="1"/>
        <v>102</v>
      </c>
      <c r="C103" t="s">
        <v>386</v>
      </c>
      <c r="D103" t="s">
        <v>402</v>
      </c>
      <c r="E103" t="s">
        <v>468</v>
      </c>
      <c r="F103" t="s">
        <v>31</v>
      </c>
      <c r="G103" s="1">
        <v>89</v>
      </c>
      <c r="H103">
        <v>3.5</v>
      </c>
      <c r="I103" t="s">
        <v>469</v>
      </c>
      <c r="J103" s="1">
        <v>2205</v>
      </c>
      <c r="K103">
        <v>2014</v>
      </c>
      <c r="L103" t="s">
        <v>470</v>
      </c>
      <c r="M103" t="s">
        <v>537</v>
      </c>
    </row>
    <row r="104" spans="1:13" x14ac:dyDescent="0.2">
      <c r="A104" t="s">
        <v>471</v>
      </c>
      <c r="B104">
        <f t="shared" si="1"/>
        <v>103</v>
      </c>
      <c r="C104" t="s">
        <v>386</v>
      </c>
      <c r="D104" t="s">
        <v>402</v>
      </c>
      <c r="E104" t="s">
        <v>472</v>
      </c>
      <c r="F104" t="s">
        <v>34</v>
      </c>
      <c r="G104" s="1">
        <v>94</v>
      </c>
      <c r="H104">
        <v>3.5</v>
      </c>
      <c r="I104" t="s">
        <v>382</v>
      </c>
      <c r="J104" s="1">
        <v>1860</v>
      </c>
      <c r="K104">
        <v>2007</v>
      </c>
      <c r="L104" t="s">
        <v>473</v>
      </c>
      <c r="M104" t="s">
        <v>537</v>
      </c>
    </row>
    <row r="105" spans="1:13" x14ac:dyDescent="0.2">
      <c r="A105" t="s">
        <v>474</v>
      </c>
      <c r="B105">
        <f t="shared" si="1"/>
        <v>104</v>
      </c>
      <c r="C105" t="s">
        <v>386</v>
      </c>
      <c r="D105" t="s">
        <v>402</v>
      </c>
      <c r="E105" t="s">
        <v>475</v>
      </c>
      <c r="F105" t="s">
        <v>383</v>
      </c>
      <c r="G105" s="1">
        <v>84</v>
      </c>
      <c r="H105">
        <v>3.5</v>
      </c>
      <c r="I105" t="s">
        <v>476</v>
      </c>
      <c r="J105" s="1">
        <v>2025</v>
      </c>
      <c r="K105">
        <v>2014</v>
      </c>
      <c r="L105" t="s">
        <v>477</v>
      </c>
      <c r="M105" t="s">
        <v>537</v>
      </c>
    </row>
    <row r="106" spans="1:13" x14ac:dyDescent="0.2">
      <c r="A106" t="s">
        <v>478</v>
      </c>
      <c r="B106">
        <f t="shared" si="1"/>
        <v>105</v>
      </c>
      <c r="C106" t="s">
        <v>386</v>
      </c>
      <c r="D106" t="s">
        <v>479</v>
      </c>
      <c r="E106" t="s">
        <v>480</v>
      </c>
      <c r="F106" t="s">
        <v>59</v>
      </c>
      <c r="G106" s="1">
        <v>97</v>
      </c>
      <c r="H106">
        <v>3.5</v>
      </c>
      <c r="I106" t="s">
        <v>481</v>
      </c>
      <c r="J106" s="1">
        <v>1780</v>
      </c>
      <c r="K106">
        <v>2021</v>
      </c>
      <c r="L106" t="s">
        <v>482</v>
      </c>
      <c r="M106" t="s">
        <v>537</v>
      </c>
    </row>
    <row r="107" spans="1:13" x14ac:dyDescent="0.2">
      <c r="A107" t="s">
        <v>483</v>
      </c>
      <c r="B107">
        <f t="shared" si="1"/>
        <v>106</v>
      </c>
      <c r="C107" t="s">
        <v>386</v>
      </c>
      <c r="D107" t="s">
        <v>479</v>
      </c>
      <c r="E107" t="s">
        <v>484</v>
      </c>
      <c r="F107" t="s">
        <v>222</v>
      </c>
      <c r="G107" s="1">
        <v>71</v>
      </c>
      <c r="H107">
        <v>3.5</v>
      </c>
      <c r="I107" t="s">
        <v>485</v>
      </c>
      <c r="J107" s="1">
        <v>1580</v>
      </c>
      <c r="K107">
        <v>2021</v>
      </c>
      <c r="L107" t="s">
        <v>482</v>
      </c>
      <c r="M107" t="s">
        <v>537</v>
      </c>
    </row>
    <row r="108" spans="1:13" x14ac:dyDescent="0.2">
      <c r="A108" t="s">
        <v>486</v>
      </c>
      <c r="B108">
        <f t="shared" si="1"/>
        <v>107</v>
      </c>
      <c r="C108" t="s">
        <v>386</v>
      </c>
      <c r="D108" t="s">
        <v>479</v>
      </c>
      <c r="E108" t="s">
        <v>487</v>
      </c>
      <c r="F108" t="s">
        <v>31</v>
      </c>
      <c r="G108" s="1">
        <v>89</v>
      </c>
      <c r="H108">
        <v>3.5</v>
      </c>
      <c r="I108" t="s">
        <v>258</v>
      </c>
      <c r="J108" s="1">
        <v>1610</v>
      </c>
      <c r="K108">
        <v>2014</v>
      </c>
      <c r="L108" t="s">
        <v>488</v>
      </c>
      <c r="M108" t="s">
        <v>537</v>
      </c>
    </row>
    <row r="109" spans="1:13" x14ac:dyDescent="0.2">
      <c r="A109" t="s">
        <v>489</v>
      </c>
      <c r="B109">
        <f t="shared" si="1"/>
        <v>108</v>
      </c>
      <c r="C109" t="s">
        <v>386</v>
      </c>
      <c r="D109" t="s">
        <v>479</v>
      </c>
      <c r="E109" t="s">
        <v>490</v>
      </c>
      <c r="F109" t="s">
        <v>108</v>
      </c>
      <c r="G109" s="1">
        <v>81</v>
      </c>
      <c r="H109">
        <v>3.5</v>
      </c>
      <c r="I109" t="s">
        <v>262</v>
      </c>
      <c r="J109" s="1">
        <v>2045</v>
      </c>
      <c r="K109">
        <v>2014</v>
      </c>
      <c r="L109" t="s">
        <v>491</v>
      </c>
      <c r="M109" t="s">
        <v>537</v>
      </c>
    </row>
    <row r="110" spans="1:13" x14ac:dyDescent="0.2">
      <c r="A110" t="s">
        <v>492</v>
      </c>
      <c r="B110">
        <f t="shared" si="1"/>
        <v>109</v>
      </c>
      <c r="C110" t="s">
        <v>386</v>
      </c>
      <c r="D110" t="s">
        <v>479</v>
      </c>
      <c r="E110" t="s">
        <v>493</v>
      </c>
      <c r="F110" t="s">
        <v>10</v>
      </c>
      <c r="G110" s="1">
        <v>69</v>
      </c>
      <c r="H110">
        <v>3</v>
      </c>
      <c r="I110" t="s">
        <v>277</v>
      </c>
      <c r="J110" s="1">
        <v>1820</v>
      </c>
      <c r="K110">
        <v>1961</v>
      </c>
      <c r="L110" t="s">
        <v>494</v>
      </c>
      <c r="M110" t="s">
        <v>537</v>
      </c>
    </row>
    <row r="111" spans="1:13" x14ac:dyDescent="0.2">
      <c r="A111" t="s">
        <v>495</v>
      </c>
      <c r="B111">
        <f t="shared" si="1"/>
        <v>110</v>
      </c>
      <c r="C111" t="s">
        <v>386</v>
      </c>
      <c r="D111" t="s">
        <v>479</v>
      </c>
      <c r="E111" t="s">
        <v>496</v>
      </c>
      <c r="F111" t="s">
        <v>215</v>
      </c>
      <c r="G111" s="1">
        <v>78</v>
      </c>
      <c r="H111">
        <v>4.5</v>
      </c>
      <c r="I111" t="s">
        <v>497</v>
      </c>
      <c r="J111" s="1">
        <v>1595</v>
      </c>
      <c r="K111">
        <v>1967</v>
      </c>
      <c r="L111" t="s">
        <v>498</v>
      </c>
      <c r="M111" t="s">
        <v>537</v>
      </c>
    </row>
    <row r="112" spans="1:13" x14ac:dyDescent="0.2">
      <c r="A112" t="s">
        <v>499</v>
      </c>
      <c r="B112">
        <f t="shared" si="1"/>
        <v>111</v>
      </c>
      <c r="C112" t="s">
        <v>386</v>
      </c>
      <c r="D112" t="s">
        <v>479</v>
      </c>
      <c r="E112" t="s">
        <v>500</v>
      </c>
      <c r="F112" t="s">
        <v>10</v>
      </c>
      <c r="G112" s="1">
        <v>69</v>
      </c>
      <c r="H112">
        <v>4.5</v>
      </c>
      <c r="I112" t="s">
        <v>501</v>
      </c>
      <c r="J112" s="1">
        <v>1680</v>
      </c>
      <c r="K112">
        <v>1965</v>
      </c>
      <c r="L112" t="s">
        <v>502</v>
      </c>
      <c r="M112" t="s">
        <v>537</v>
      </c>
    </row>
    <row r="113" spans="1:13" x14ac:dyDescent="0.2">
      <c r="A113" t="s">
        <v>503</v>
      </c>
      <c r="B113">
        <f t="shared" si="1"/>
        <v>112</v>
      </c>
      <c r="C113" t="s">
        <v>386</v>
      </c>
      <c r="D113" t="s">
        <v>479</v>
      </c>
      <c r="E113" t="s">
        <v>504</v>
      </c>
      <c r="F113" t="s">
        <v>505</v>
      </c>
      <c r="G113" s="1">
        <v>66</v>
      </c>
      <c r="H113">
        <v>4.5</v>
      </c>
      <c r="I113" t="s">
        <v>416</v>
      </c>
      <c r="J113" s="1">
        <v>1450</v>
      </c>
      <c r="K113">
        <v>1959</v>
      </c>
      <c r="L113" t="s">
        <v>506</v>
      </c>
      <c r="M113" t="s">
        <v>537</v>
      </c>
    </row>
    <row r="114" spans="1:13" x14ac:dyDescent="0.2">
      <c r="A114" t="s">
        <v>507</v>
      </c>
      <c r="B114">
        <f t="shared" si="1"/>
        <v>113</v>
      </c>
      <c r="C114" t="s">
        <v>386</v>
      </c>
      <c r="D114" t="s">
        <v>479</v>
      </c>
      <c r="E114" t="s">
        <v>508</v>
      </c>
      <c r="F114" t="s">
        <v>211</v>
      </c>
      <c r="G114" s="1">
        <v>87</v>
      </c>
      <c r="H114">
        <v>3.5</v>
      </c>
      <c r="I114" t="s">
        <v>509</v>
      </c>
      <c r="J114" s="1">
        <v>1630</v>
      </c>
      <c r="K114">
        <v>1962</v>
      </c>
      <c r="L114" t="s">
        <v>510</v>
      </c>
      <c r="M114" t="s">
        <v>537</v>
      </c>
    </row>
    <row r="115" spans="1:13" x14ac:dyDescent="0.2">
      <c r="A115" t="s">
        <v>511</v>
      </c>
      <c r="B115">
        <f t="shared" si="1"/>
        <v>114</v>
      </c>
      <c r="C115" t="s">
        <v>386</v>
      </c>
      <c r="D115" t="s">
        <v>479</v>
      </c>
      <c r="E115" t="s">
        <v>512</v>
      </c>
      <c r="F115" t="s">
        <v>141</v>
      </c>
      <c r="G115" s="1">
        <v>96</v>
      </c>
      <c r="H115">
        <v>3.5</v>
      </c>
      <c r="I115" t="s">
        <v>513</v>
      </c>
      <c r="J115" s="1">
        <v>1770</v>
      </c>
      <c r="K115">
        <v>1962</v>
      </c>
      <c r="L115" t="s">
        <v>514</v>
      </c>
      <c r="M115" t="s">
        <v>537</v>
      </c>
    </row>
    <row r="116" spans="1:13" x14ac:dyDescent="0.2">
      <c r="A116" t="s">
        <v>515</v>
      </c>
      <c r="B116">
        <f t="shared" si="1"/>
        <v>115</v>
      </c>
      <c r="C116" t="s">
        <v>386</v>
      </c>
      <c r="D116" t="s">
        <v>479</v>
      </c>
      <c r="E116" t="s">
        <v>516</v>
      </c>
      <c r="F116" t="s">
        <v>186</v>
      </c>
      <c r="G116" s="1">
        <v>105</v>
      </c>
      <c r="H116">
        <v>4.5</v>
      </c>
      <c r="I116" t="s">
        <v>517</v>
      </c>
      <c r="J116" s="1">
        <v>2100</v>
      </c>
      <c r="K116">
        <v>1962</v>
      </c>
      <c r="L116" t="s">
        <v>518</v>
      </c>
      <c r="M116" t="s">
        <v>537</v>
      </c>
    </row>
    <row r="117" spans="1:13" x14ac:dyDescent="0.2">
      <c r="A117" t="s">
        <v>519</v>
      </c>
      <c r="B117">
        <f t="shared" si="1"/>
        <v>116</v>
      </c>
      <c r="C117" t="s">
        <v>386</v>
      </c>
      <c r="D117" t="s">
        <v>479</v>
      </c>
      <c r="E117" t="s">
        <v>520</v>
      </c>
      <c r="F117" t="s">
        <v>521</v>
      </c>
      <c r="G117" s="1">
        <v>122</v>
      </c>
      <c r="H117">
        <v>4.5</v>
      </c>
      <c r="I117" t="s">
        <v>517</v>
      </c>
      <c r="J117" s="1">
        <v>2100</v>
      </c>
      <c r="K117">
        <v>1992</v>
      </c>
      <c r="L117" t="s">
        <v>522</v>
      </c>
      <c r="M117" t="s">
        <v>537</v>
      </c>
    </row>
    <row r="118" spans="1:13" x14ac:dyDescent="0.2">
      <c r="A118" t="s">
        <v>523</v>
      </c>
      <c r="B118">
        <f t="shared" si="1"/>
        <v>117</v>
      </c>
      <c r="C118" t="s">
        <v>386</v>
      </c>
      <c r="D118" t="s">
        <v>479</v>
      </c>
      <c r="E118" t="s">
        <v>524</v>
      </c>
      <c r="F118" t="s">
        <v>525</v>
      </c>
      <c r="G118" s="1">
        <v>145</v>
      </c>
      <c r="H118">
        <v>5</v>
      </c>
      <c r="I118" t="s">
        <v>526</v>
      </c>
      <c r="J118" s="1">
        <v>2650</v>
      </c>
      <c r="K118">
        <v>1992</v>
      </c>
      <c r="L118" t="s">
        <v>522</v>
      </c>
      <c r="M118" t="s">
        <v>537</v>
      </c>
    </row>
    <row r="119" spans="1:13" x14ac:dyDescent="0.2">
      <c r="A119" t="s">
        <v>527</v>
      </c>
      <c r="B119">
        <f t="shared" si="1"/>
        <v>118</v>
      </c>
      <c r="C119" t="s">
        <v>386</v>
      </c>
      <c r="D119" t="s">
        <v>479</v>
      </c>
      <c r="E119" t="s">
        <v>528</v>
      </c>
      <c r="F119" t="s">
        <v>128</v>
      </c>
      <c r="G119" s="1">
        <v>88</v>
      </c>
      <c r="H119">
        <v>4.5</v>
      </c>
      <c r="I119" t="s">
        <v>529</v>
      </c>
      <c r="J119" s="1">
        <v>1590</v>
      </c>
      <c r="K119">
        <v>1980</v>
      </c>
      <c r="L119" t="s">
        <v>530</v>
      </c>
      <c r="M119" t="s">
        <v>537</v>
      </c>
    </row>
    <row r="120" spans="1:13" x14ac:dyDescent="0.2">
      <c r="A120" t="s">
        <v>531</v>
      </c>
      <c r="B120">
        <f t="shared" si="1"/>
        <v>119</v>
      </c>
      <c r="C120" t="s">
        <v>386</v>
      </c>
      <c r="D120" t="s">
        <v>479</v>
      </c>
      <c r="E120" t="s">
        <v>532</v>
      </c>
      <c r="F120" t="s">
        <v>505</v>
      </c>
      <c r="G120" s="1">
        <v>66</v>
      </c>
      <c r="H120">
        <v>3.5</v>
      </c>
      <c r="I120" t="s">
        <v>313</v>
      </c>
      <c r="J120" s="1">
        <v>1650</v>
      </c>
      <c r="K120">
        <v>1960</v>
      </c>
      <c r="L120" t="s">
        <v>533</v>
      </c>
      <c r="M120" t="s">
        <v>537</v>
      </c>
    </row>
    <row r="121" spans="1:13" x14ac:dyDescent="0.2">
      <c r="A121" t="s">
        <v>534</v>
      </c>
      <c r="B121">
        <f t="shared" si="1"/>
        <v>120</v>
      </c>
      <c r="C121" t="s">
        <v>386</v>
      </c>
      <c r="D121" t="s">
        <v>479</v>
      </c>
      <c r="E121" t="s">
        <v>535</v>
      </c>
      <c r="F121" t="s">
        <v>266</v>
      </c>
      <c r="G121" s="1">
        <v>61</v>
      </c>
      <c r="H121">
        <v>3</v>
      </c>
      <c r="I121" t="s">
        <v>435</v>
      </c>
      <c r="J121" s="1">
        <v>1180</v>
      </c>
      <c r="K121">
        <v>1967</v>
      </c>
      <c r="L121" t="s">
        <v>536</v>
      </c>
      <c r="M121" t="s">
        <v>537</v>
      </c>
    </row>
  </sheetData>
  <autoFilter ref="A1:M121" xr:uid="{C554650E-8343-5041-B44F-DCAB2BC644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Graf Romina (grafrom1)</dc:creator>
  <cp:lastModifiedBy>Graf Romina (grafrom1)</cp:lastModifiedBy>
  <dcterms:created xsi:type="dcterms:W3CDTF">2025-11-29T19:21:16Z</dcterms:created>
  <dcterms:modified xsi:type="dcterms:W3CDTF">2025-11-29T19:40:20Z</dcterms:modified>
</cp:coreProperties>
</file>